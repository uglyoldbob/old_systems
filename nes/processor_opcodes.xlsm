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 activeTab="1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2" i="1"/>
  <c r="M3" i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M9" i="1"/>
  <c r="N9" i="1"/>
  <c r="O9" i="1"/>
  <c r="P9" i="1"/>
  <c r="Q9" i="1"/>
  <c r="R9" i="1"/>
  <c r="S9" i="1"/>
  <c r="T9" i="1"/>
  <c r="M10" i="1"/>
  <c r="N10" i="1"/>
  <c r="O10" i="1"/>
  <c r="P10" i="1"/>
  <c r="Q10" i="1"/>
  <c r="R10" i="1"/>
  <c r="S10" i="1"/>
  <c r="T10" i="1"/>
  <c r="M11" i="1"/>
  <c r="N11" i="1"/>
  <c r="O11" i="1"/>
  <c r="P11" i="1"/>
  <c r="Q11" i="1"/>
  <c r="R11" i="1"/>
  <c r="S11" i="1"/>
  <c r="T11" i="1"/>
  <c r="M12" i="1"/>
  <c r="N12" i="1"/>
  <c r="O12" i="1"/>
  <c r="P12" i="1"/>
  <c r="Q12" i="1"/>
  <c r="R12" i="1"/>
  <c r="S12" i="1"/>
  <c r="T12" i="1"/>
  <c r="M13" i="1"/>
  <c r="N13" i="1"/>
  <c r="O13" i="1"/>
  <c r="P13" i="1"/>
  <c r="Q13" i="1"/>
  <c r="R13" i="1"/>
  <c r="S13" i="1"/>
  <c r="T13" i="1"/>
  <c r="M14" i="1"/>
  <c r="N14" i="1"/>
  <c r="O14" i="1"/>
  <c r="P14" i="1"/>
  <c r="Q14" i="1"/>
  <c r="R14" i="1"/>
  <c r="S14" i="1"/>
  <c r="T14" i="1"/>
  <c r="M15" i="1"/>
  <c r="N15" i="1"/>
  <c r="O15" i="1"/>
  <c r="P15" i="1"/>
  <c r="Q15" i="1"/>
  <c r="R15" i="1"/>
  <c r="S15" i="1"/>
  <c r="T15" i="1"/>
  <c r="M16" i="1"/>
  <c r="N16" i="1"/>
  <c r="O16" i="1"/>
  <c r="P16" i="1"/>
  <c r="Q16" i="1"/>
  <c r="R16" i="1"/>
  <c r="S16" i="1"/>
  <c r="T16" i="1"/>
  <c r="M17" i="1"/>
  <c r="N17" i="1"/>
  <c r="O17" i="1"/>
  <c r="P17" i="1"/>
  <c r="Q17" i="1"/>
  <c r="R17" i="1"/>
  <c r="S17" i="1"/>
  <c r="T17" i="1"/>
  <c r="M18" i="1"/>
  <c r="N18" i="1"/>
  <c r="O18" i="1"/>
  <c r="P18" i="1"/>
  <c r="Q18" i="1"/>
  <c r="R18" i="1"/>
  <c r="S18" i="1"/>
  <c r="T18" i="1"/>
  <c r="M19" i="1"/>
  <c r="N19" i="1"/>
  <c r="O19" i="1"/>
  <c r="P19" i="1"/>
  <c r="Q19" i="1"/>
  <c r="R19" i="1"/>
  <c r="S19" i="1"/>
  <c r="T19" i="1"/>
  <c r="M20" i="1"/>
  <c r="N20" i="1"/>
  <c r="O20" i="1"/>
  <c r="P20" i="1"/>
  <c r="Q20" i="1"/>
  <c r="R20" i="1"/>
  <c r="S20" i="1"/>
  <c r="T20" i="1"/>
  <c r="M21" i="1"/>
  <c r="N21" i="1"/>
  <c r="O21" i="1"/>
  <c r="P21" i="1"/>
  <c r="Q21" i="1"/>
  <c r="R21" i="1"/>
  <c r="S21" i="1"/>
  <c r="T21" i="1"/>
  <c r="M22" i="1"/>
  <c r="N22" i="1"/>
  <c r="O22" i="1"/>
  <c r="P22" i="1"/>
  <c r="Q22" i="1"/>
  <c r="R22" i="1"/>
  <c r="S22" i="1"/>
  <c r="T22" i="1"/>
  <c r="M23" i="1"/>
  <c r="N23" i="1"/>
  <c r="O23" i="1"/>
  <c r="P23" i="1"/>
  <c r="Q23" i="1"/>
  <c r="R23" i="1"/>
  <c r="S23" i="1"/>
  <c r="T23" i="1"/>
  <c r="M24" i="1"/>
  <c r="N24" i="1"/>
  <c r="O24" i="1"/>
  <c r="P24" i="1"/>
  <c r="Q24" i="1"/>
  <c r="R24" i="1"/>
  <c r="S24" i="1"/>
  <c r="T24" i="1"/>
  <c r="M25" i="1"/>
  <c r="N25" i="1"/>
  <c r="O25" i="1"/>
  <c r="P25" i="1"/>
  <c r="Q25" i="1"/>
  <c r="R25" i="1"/>
  <c r="S25" i="1"/>
  <c r="T25" i="1"/>
  <c r="M26" i="1"/>
  <c r="N26" i="1"/>
  <c r="O26" i="1"/>
  <c r="P26" i="1"/>
  <c r="Q26" i="1"/>
  <c r="R26" i="1"/>
  <c r="S26" i="1"/>
  <c r="T26" i="1"/>
  <c r="M27" i="1"/>
  <c r="N27" i="1"/>
  <c r="O27" i="1"/>
  <c r="P27" i="1"/>
  <c r="Q27" i="1"/>
  <c r="R27" i="1"/>
  <c r="S27" i="1"/>
  <c r="T27" i="1"/>
  <c r="M28" i="1"/>
  <c r="N28" i="1"/>
  <c r="O28" i="1"/>
  <c r="P28" i="1"/>
  <c r="Q28" i="1"/>
  <c r="R28" i="1"/>
  <c r="S28" i="1"/>
  <c r="T28" i="1"/>
  <c r="M29" i="1"/>
  <c r="N29" i="1"/>
  <c r="O29" i="1"/>
  <c r="P29" i="1"/>
  <c r="Q29" i="1"/>
  <c r="R29" i="1"/>
  <c r="S29" i="1"/>
  <c r="T29" i="1"/>
  <c r="M30" i="1"/>
  <c r="N30" i="1"/>
  <c r="O30" i="1"/>
  <c r="P30" i="1"/>
  <c r="Q30" i="1"/>
  <c r="R30" i="1"/>
  <c r="S30" i="1"/>
  <c r="T30" i="1"/>
  <c r="M31" i="1"/>
  <c r="N31" i="1"/>
  <c r="O31" i="1"/>
  <c r="P31" i="1"/>
  <c r="Q31" i="1"/>
  <c r="R31" i="1"/>
  <c r="S31" i="1"/>
  <c r="T31" i="1"/>
  <c r="M32" i="1"/>
  <c r="N32" i="1"/>
  <c r="O32" i="1"/>
  <c r="P32" i="1"/>
  <c r="Q32" i="1"/>
  <c r="R32" i="1"/>
  <c r="S32" i="1"/>
  <c r="T32" i="1"/>
  <c r="M33" i="1"/>
  <c r="N33" i="1"/>
  <c r="O33" i="1"/>
  <c r="P33" i="1"/>
  <c r="Q33" i="1"/>
  <c r="R33" i="1"/>
  <c r="S33" i="1"/>
  <c r="T33" i="1"/>
  <c r="M34" i="1"/>
  <c r="N34" i="1"/>
  <c r="O34" i="1"/>
  <c r="P34" i="1"/>
  <c r="Q34" i="1"/>
  <c r="R34" i="1"/>
  <c r="S34" i="1"/>
  <c r="T34" i="1"/>
  <c r="M35" i="1"/>
  <c r="N35" i="1"/>
  <c r="O35" i="1"/>
  <c r="P35" i="1"/>
  <c r="Q35" i="1"/>
  <c r="R35" i="1"/>
  <c r="S35" i="1"/>
  <c r="T35" i="1"/>
  <c r="M36" i="1"/>
  <c r="N36" i="1"/>
  <c r="O36" i="1"/>
  <c r="P36" i="1"/>
  <c r="Q36" i="1"/>
  <c r="R36" i="1"/>
  <c r="S36" i="1"/>
  <c r="T36" i="1"/>
  <c r="M37" i="1"/>
  <c r="N37" i="1"/>
  <c r="O37" i="1"/>
  <c r="P37" i="1"/>
  <c r="Q37" i="1"/>
  <c r="R37" i="1"/>
  <c r="S37" i="1"/>
  <c r="T37" i="1"/>
  <c r="M38" i="1"/>
  <c r="N38" i="1"/>
  <c r="O38" i="1"/>
  <c r="P38" i="1"/>
  <c r="Q38" i="1"/>
  <c r="R38" i="1"/>
  <c r="S38" i="1"/>
  <c r="T38" i="1"/>
  <c r="M39" i="1"/>
  <c r="N39" i="1"/>
  <c r="O39" i="1"/>
  <c r="P39" i="1"/>
  <c r="Q39" i="1"/>
  <c r="R39" i="1"/>
  <c r="S39" i="1"/>
  <c r="T39" i="1"/>
  <c r="M40" i="1"/>
  <c r="N40" i="1"/>
  <c r="O40" i="1"/>
  <c r="P40" i="1"/>
  <c r="Q40" i="1"/>
  <c r="R40" i="1"/>
  <c r="S40" i="1"/>
  <c r="T40" i="1"/>
  <c r="M41" i="1"/>
  <c r="N41" i="1"/>
  <c r="O41" i="1"/>
  <c r="P41" i="1"/>
  <c r="Q41" i="1"/>
  <c r="R41" i="1"/>
  <c r="S41" i="1"/>
  <c r="T41" i="1"/>
  <c r="M42" i="1"/>
  <c r="N42" i="1"/>
  <c r="O42" i="1"/>
  <c r="P42" i="1"/>
  <c r="Q42" i="1"/>
  <c r="R42" i="1"/>
  <c r="S42" i="1"/>
  <c r="T42" i="1"/>
  <c r="M43" i="1"/>
  <c r="N43" i="1"/>
  <c r="O43" i="1"/>
  <c r="P43" i="1"/>
  <c r="Q43" i="1"/>
  <c r="R43" i="1"/>
  <c r="S43" i="1"/>
  <c r="T43" i="1"/>
  <c r="M44" i="1"/>
  <c r="N44" i="1"/>
  <c r="O44" i="1"/>
  <c r="P44" i="1"/>
  <c r="Q44" i="1"/>
  <c r="R44" i="1"/>
  <c r="S44" i="1"/>
  <c r="T44" i="1"/>
  <c r="M45" i="1"/>
  <c r="N45" i="1"/>
  <c r="O45" i="1"/>
  <c r="P45" i="1"/>
  <c r="Q45" i="1"/>
  <c r="R45" i="1"/>
  <c r="S45" i="1"/>
  <c r="T45" i="1"/>
  <c r="M46" i="1"/>
  <c r="N46" i="1"/>
  <c r="O46" i="1"/>
  <c r="P46" i="1"/>
  <c r="Q46" i="1"/>
  <c r="R46" i="1"/>
  <c r="S46" i="1"/>
  <c r="T46" i="1"/>
  <c r="M47" i="1"/>
  <c r="N47" i="1"/>
  <c r="O47" i="1"/>
  <c r="P47" i="1"/>
  <c r="Q47" i="1"/>
  <c r="R47" i="1"/>
  <c r="S47" i="1"/>
  <c r="T47" i="1"/>
  <c r="M48" i="1"/>
  <c r="N48" i="1"/>
  <c r="O48" i="1"/>
  <c r="P48" i="1"/>
  <c r="Q48" i="1"/>
  <c r="R48" i="1"/>
  <c r="S48" i="1"/>
  <c r="T48" i="1"/>
  <c r="M49" i="1"/>
  <c r="N49" i="1"/>
  <c r="O49" i="1"/>
  <c r="P49" i="1"/>
  <c r="Q49" i="1"/>
  <c r="R49" i="1"/>
  <c r="S49" i="1"/>
  <c r="T49" i="1"/>
  <c r="M50" i="1"/>
  <c r="N50" i="1"/>
  <c r="O50" i="1"/>
  <c r="P50" i="1"/>
  <c r="Q50" i="1"/>
  <c r="R50" i="1"/>
  <c r="S50" i="1"/>
  <c r="T50" i="1"/>
  <c r="M51" i="1"/>
  <c r="N51" i="1"/>
  <c r="O51" i="1"/>
  <c r="P51" i="1"/>
  <c r="Q51" i="1"/>
  <c r="R51" i="1"/>
  <c r="S51" i="1"/>
  <c r="T51" i="1"/>
  <c r="M52" i="1"/>
  <c r="N52" i="1"/>
  <c r="O52" i="1"/>
  <c r="P52" i="1"/>
  <c r="Q52" i="1"/>
  <c r="R52" i="1"/>
  <c r="S52" i="1"/>
  <c r="T52" i="1"/>
  <c r="M53" i="1"/>
  <c r="N53" i="1"/>
  <c r="O53" i="1"/>
  <c r="P53" i="1"/>
  <c r="Q53" i="1"/>
  <c r="R53" i="1"/>
  <c r="S53" i="1"/>
  <c r="T53" i="1"/>
  <c r="M54" i="1"/>
  <c r="N54" i="1"/>
  <c r="O54" i="1"/>
  <c r="P54" i="1"/>
  <c r="Q54" i="1"/>
  <c r="R54" i="1"/>
  <c r="S54" i="1"/>
  <c r="T54" i="1"/>
  <c r="M55" i="1"/>
  <c r="N55" i="1"/>
  <c r="O55" i="1"/>
  <c r="P55" i="1"/>
  <c r="Q55" i="1"/>
  <c r="R55" i="1"/>
  <c r="S55" i="1"/>
  <c r="T55" i="1"/>
  <c r="M56" i="1"/>
  <c r="N56" i="1"/>
  <c r="O56" i="1"/>
  <c r="P56" i="1"/>
  <c r="Q56" i="1"/>
  <c r="R56" i="1"/>
  <c r="S56" i="1"/>
  <c r="T56" i="1"/>
  <c r="M57" i="1"/>
  <c r="N57" i="1"/>
  <c r="O57" i="1"/>
  <c r="P57" i="1"/>
  <c r="Q57" i="1"/>
  <c r="R57" i="1"/>
  <c r="S57" i="1"/>
  <c r="T57" i="1"/>
  <c r="N2" i="1"/>
  <c r="O2" i="1"/>
  <c r="P2" i="1"/>
  <c r="Q2" i="1"/>
  <c r="R2" i="1"/>
  <c r="S2" i="1"/>
  <c r="T2" i="1"/>
  <c r="M2" i="1"/>
  <c r="V3" i="1"/>
  <c r="V7" i="1"/>
  <c r="V11" i="1"/>
  <c r="V15" i="1"/>
  <c r="V19" i="1"/>
  <c r="V23" i="1"/>
  <c r="V27" i="1"/>
  <c r="V31" i="1"/>
  <c r="V35" i="1"/>
  <c r="V39" i="1"/>
  <c r="V43" i="1"/>
  <c r="V47" i="1"/>
  <c r="V51" i="1"/>
  <c r="V55" i="1"/>
  <c r="V4" i="1"/>
  <c r="V8" i="1"/>
  <c r="V12" i="1"/>
  <c r="V16" i="1"/>
  <c r="V20" i="1"/>
  <c r="V24" i="1"/>
  <c r="V28" i="1"/>
  <c r="V32" i="1"/>
  <c r="V36" i="1"/>
  <c r="V40" i="1"/>
  <c r="V44" i="1"/>
  <c r="V48" i="1"/>
  <c r="V52" i="1"/>
  <c r="V56" i="1"/>
  <c r="V5" i="1"/>
  <c r="V9" i="1"/>
  <c r="V13" i="1"/>
  <c r="V17" i="1"/>
  <c r="V21" i="1"/>
  <c r="V25" i="1"/>
  <c r="V29" i="1"/>
  <c r="V33" i="1"/>
  <c r="V37" i="1"/>
  <c r="V41" i="1"/>
  <c r="V45" i="1"/>
  <c r="V49" i="1"/>
  <c r="V53" i="1"/>
  <c r="V57" i="1"/>
  <c r="V6" i="1"/>
  <c r="V10" i="1"/>
  <c r="V14" i="1"/>
  <c r="V18" i="1"/>
  <c r="V22" i="1"/>
  <c r="V26" i="1"/>
  <c r="V30" i="1"/>
  <c r="V34" i="1"/>
  <c r="V38" i="1"/>
  <c r="V42" i="1"/>
  <c r="V46" i="1"/>
  <c r="V50" i="1"/>
  <c r="V54" i="1"/>
  <c r="V2" i="1"/>
  <c r="AE3" i="1"/>
  <c r="AI3" i="1"/>
  <c r="AE4" i="1"/>
  <c r="AI4" i="1"/>
  <c r="AE5" i="1"/>
  <c r="AI5" i="1"/>
  <c r="AE6" i="1"/>
  <c r="AI6" i="1"/>
  <c r="AE7" i="1"/>
  <c r="AI7" i="1"/>
  <c r="AE8" i="1"/>
  <c r="AI8" i="1"/>
  <c r="AE9" i="1"/>
  <c r="AI9" i="1"/>
  <c r="AE10" i="1"/>
  <c r="AI10" i="1"/>
  <c r="AE11" i="1"/>
  <c r="AI11" i="1"/>
  <c r="AE12" i="1"/>
  <c r="AI12" i="1"/>
  <c r="AE13" i="1"/>
  <c r="AI13" i="1"/>
  <c r="AE14" i="1"/>
  <c r="AI14" i="1"/>
  <c r="AE15" i="1"/>
  <c r="AI15" i="1"/>
  <c r="AE16" i="1"/>
  <c r="AI16" i="1"/>
  <c r="AE17" i="1"/>
  <c r="AI17" i="1"/>
  <c r="AE18" i="1"/>
  <c r="AI18" i="1"/>
  <c r="AE19" i="1"/>
  <c r="AI19" i="1"/>
  <c r="AE20" i="1"/>
  <c r="AI20" i="1"/>
  <c r="AE21" i="1"/>
  <c r="AI21" i="1"/>
  <c r="AE22" i="1"/>
  <c r="AI22" i="1"/>
  <c r="AE23" i="1"/>
  <c r="AI23" i="1"/>
  <c r="AE24" i="1"/>
  <c r="AI24" i="1"/>
  <c r="AE25" i="1"/>
  <c r="AI25" i="1"/>
  <c r="AE26" i="1"/>
  <c r="AI26" i="1"/>
  <c r="AE27" i="1"/>
  <c r="AI27" i="1"/>
  <c r="AE28" i="1"/>
  <c r="AI28" i="1"/>
  <c r="AE29" i="1"/>
  <c r="AI29" i="1"/>
  <c r="AE30" i="1"/>
  <c r="AI30" i="1"/>
  <c r="AE31" i="1"/>
  <c r="AI31" i="1"/>
  <c r="AE32" i="1"/>
  <c r="AI32" i="1"/>
  <c r="AE33" i="1"/>
  <c r="AI33" i="1"/>
  <c r="AE34" i="1"/>
  <c r="AI34" i="1"/>
  <c r="AE35" i="1"/>
  <c r="AI35" i="1"/>
  <c r="AE36" i="1"/>
  <c r="AI36" i="1"/>
  <c r="AE37" i="1"/>
  <c r="AI37" i="1"/>
  <c r="AE38" i="1"/>
  <c r="AI38" i="1"/>
  <c r="AE39" i="1"/>
  <c r="AI39" i="1"/>
  <c r="AE40" i="1"/>
  <c r="AI40" i="1"/>
  <c r="AE41" i="1"/>
  <c r="AI41" i="1"/>
  <c r="AE42" i="1"/>
  <c r="AI42" i="1"/>
  <c r="AE43" i="1"/>
  <c r="AI43" i="1"/>
  <c r="AE44" i="1"/>
  <c r="AE45" i="1"/>
  <c r="AI45" i="1"/>
  <c r="AE46" i="1"/>
  <c r="AI46" i="1"/>
  <c r="AI47" i="1"/>
  <c r="AE48" i="1"/>
  <c r="AI49" i="1"/>
  <c r="AE50" i="1"/>
  <c r="AI51" i="1"/>
  <c r="AI52" i="1"/>
  <c r="AE53" i="1"/>
  <c r="AI54" i="1"/>
  <c r="AE55" i="1"/>
  <c r="AI56" i="1"/>
  <c r="AE57" i="1"/>
  <c r="AF3" i="1"/>
  <c r="AJ3" i="1"/>
  <c r="AF4" i="1"/>
  <c r="AJ4" i="1"/>
  <c r="AF5" i="1"/>
  <c r="AJ5" i="1"/>
  <c r="AF6" i="1"/>
  <c r="AJ6" i="1"/>
  <c r="AF7" i="1"/>
  <c r="AJ7" i="1"/>
  <c r="AF8" i="1"/>
  <c r="AJ8" i="1"/>
  <c r="AF9" i="1"/>
  <c r="AJ9" i="1"/>
  <c r="AF10" i="1"/>
  <c r="AJ10" i="1"/>
  <c r="AF11" i="1"/>
  <c r="AJ11" i="1"/>
  <c r="AF12" i="1"/>
  <c r="AJ12" i="1"/>
  <c r="AF13" i="1"/>
  <c r="AJ13" i="1"/>
  <c r="AF14" i="1"/>
  <c r="AJ14" i="1"/>
  <c r="AF15" i="1"/>
  <c r="AJ15" i="1"/>
  <c r="AF16" i="1"/>
  <c r="AJ16" i="1"/>
  <c r="AF17" i="1"/>
  <c r="AJ17" i="1"/>
  <c r="AF18" i="1"/>
  <c r="AJ18" i="1"/>
  <c r="AF19" i="1"/>
  <c r="AJ19" i="1"/>
  <c r="AF20" i="1"/>
  <c r="AJ20" i="1"/>
  <c r="AF21" i="1"/>
  <c r="AJ21" i="1"/>
  <c r="AF22" i="1"/>
  <c r="AJ22" i="1"/>
  <c r="AF23" i="1"/>
  <c r="AJ23" i="1"/>
  <c r="AF24" i="1"/>
  <c r="AJ24" i="1"/>
  <c r="AF25" i="1"/>
  <c r="AJ25" i="1"/>
  <c r="AF26" i="1"/>
  <c r="AJ26" i="1"/>
  <c r="AF27" i="1"/>
  <c r="AJ27" i="1"/>
  <c r="AF28" i="1"/>
  <c r="AJ28" i="1"/>
  <c r="AF29" i="1"/>
  <c r="AJ29" i="1"/>
  <c r="AF30" i="1"/>
  <c r="AJ30" i="1"/>
  <c r="AF31" i="1"/>
  <c r="AJ31" i="1"/>
  <c r="AF32" i="1"/>
  <c r="AJ32" i="1"/>
  <c r="AF33" i="1"/>
  <c r="AJ33" i="1"/>
  <c r="AF34" i="1"/>
  <c r="AJ34" i="1"/>
  <c r="AF35" i="1"/>
  <c r="AJ35" i="1"/>
  <c r="AF36" i="1"/>
  <c r="AJ36" i="1"/>
  <c r="AF37" i="1"/>
  <c r="AJ37" i="1"/>
  <c r="AF38" i="1"/>
  <c r="AJ38" i="1"/>
  <c r="AF39" i="1"/>
  <c r="AJ39" i="1"/>
  <c r="AF40" i="1"/>
  <c r="AJ40" i="1"/>
  <c r="AF41" i="1"/>
  <c r="AJ41" i="1"/>
  <c r="AF42" i="1"/>
  <c r="AJ42" i="1"/>
  <c r="AF43" i="1"/>
  <c r="AJ43" i="1"/>
  <c r="AF44" i="1"/>
  <c r="AJ44" i="1"/>
  <c r="AF45" i="1"/>
  <c r="AJ45" i="1"/>
  <c r="AF46" i="1"/>
  <c r="AJ46" i="1"/>
  <c r="AF47" i="1"/>
  <c r="AJ47" i="1"/>
  <c r="AF48" i="1"/>
  <c r="AJ48" i="1"/>
  <c r="AF49" i="1"/>
  <c r="AJ49" i="1"/>
  <c r="AF50" i="1"/>
  <c r="AJ50" i="1"/>
  <c r="AF51" i="1"/>
  <c r="AJ51" i="1"/>
  <c r="AF52" i="1"/>
  <c r="AJ52" i="1"/>
  <c r="AF53" i="1"/>
  <c r="AJ53" i="1"/>
  <c r="AF54" i="1"/>
  <c r="AJ54" i="1"/>
  <c r="AF55" i="1"/>
  <c r="AJ55" i="1"/>
  <c r="AF56" i="1"/>
  <c r="AJ56" i="1"/>
  <c r="AF57" i="1"/>
  <c r="AJ57" i="1"/>
  <c r="AG3" i="1"/>
  <c r="AK3" i="1"/>
  <c r="AG4" i="1"/>
  <c r="AK4" i="1"/>
  <c r="AG5" i="1"/>
  <c r="AK5" i="1"/>
  <c r="AG6" i="1"/>
  <c r="AK6" i="1"/>
  <c r="AG7" i="1"/>
  <c r="AK7" i="1"/>
  <c r="AG8" i="1"/>
  <c r="AK8" i="1"/>
  <c r="AG9" i="1"/>
  <c r="AK9" i="1"/>
  <c r="AG10" i="1"/>
  <c r="AK10" i="1"/>
  <c r="AG11" i="1"/>
  <c r="AK11" i="1"/>
  <c r="AG12" i="1"/>
  <c r="AK12" i="1"/>
  <c r="AG13" i="1"/>
  <c r="AK13" i="1"/>
  <c r="AG14" i="1"/>
  <c r="AK14" i="1"/>
  <c r="AG15" i="1"/>
  <c r="AK15" i="1"/>
  <c r="AG16" i="1"/>
  <c r="AK16" i="1"/>
  <c r="AG17" i="1"/>
  <c r="AK17" i="1"/>
  <c r="AG18" i="1"/>
  <c r="AK18" i="1"/>
  <c r="AG19" i="1"/>
  <c r="AK19" i="1"/>
  <c r="AG20" i="1"/>
  <c r="AK20" i="1"/>
  <c r="AG21" i="1"/>
  <c r="AK21" i="1"/>
  <c r="AG22" i="1"/>
  <c r="AK22" i="1"/>
  <c r="AG23" i="1"/>
  <c r="AK23" i="1"/>
  <c r="AG24" i="1"/>
  <c r="AK24" i="1"/>
  <c r="AG25" i="1"/>
  <c r="AK25" i="1"/>
  <c r="AG26" i="1"/>
  <c r="AK26" i="1"/>
  <c r="AG27" i="1"/>
  <c r="AK27" i="1"/>
  <c r="AG28" i="1"/>
  <c r="AK28" i="1"/>
  <c r="AG29" i="1"/>
  <c r="AK29" i="1"/>
  <c r="AG30" i="1"/>
  <c r="AK30" i="1"/>
  <c r="AG31" i="1"/>
  <c r="AK31" i="1"/>
  <c r="AG32" i="1"/>
  <c r="AK32" i="1"/>
  <c r="AG33" i="1"/>
  <c r="AK33" i="1"/>
  <c r="AG34" i="1"/>
  <c r="AK34" i="1"/>
  <c r="AG35" i="1"/>
  <c r="AK35" i="1"/>
  <c r="AG36" i="1"/>
  <c r="AK36" i="1"/>
  <c r="AG37" i="1"/>
  <c r="AK37" i="1"/>
  <c r="AG38" i="1"/>
  <c r="AK38" i="1"/>
  <c r="AG39" i="1"/>
  <c r="AK39" i="1"/>
  <c r="AG40" i="1"/>
  <c r="AK40" i="1"/>
  <c r="AG41" i="1"/>
  <c r="AK41" i="1"/>
  <c r="AG42" i="1"/>
  <c r="AK42" i="1"/>
  <c r="AG43" i="1"/>
  <c r="AK43" i="1"/>
  <c r="AG44" i="1"/>
  <c r="AK44" i="1"/>
  <c r="AG45" i="1"/>
  <c r="AK45" i="1"/>
  <c r="AG46" i="1"/>
  <c r="AK46" i="1"/>
  <c r="AG47" i="1"/>
  <c r="AK47" i="1"/>
  <c r="AG48" i="1"/>
  <c r="AK48" i="1"/>
  <c r="AG49" i="1"/>
  <c r="AK49" i="1"/>
  <c r="AG50" i="1"/>
  <c r="AK50" i="1"/>
  <c r="AG51" i="1"/>
  <c r="AK51" i="1"/>
  <c r="AG52" i="1"/>
  <c r="AK52" i="1"/>
  <c r="AG53" i="1"/>
  <c r="AK53" i="1"/>
  <c r="AG54" i="1"/>
  <c r="AK54" i="1"/>
  <c r="AG55" i="1"/>
  <c r="AK55" i="1"/>
  <c r="AG56" i="1"/>
  <c r="AK56" i="1"/>
  <c r="AG57" i="1"/>
  <c r="AK57" i="1"/>
  <c r="AH3" i="1"/>
  <c r="AL3" i="1"/>
  <c r="AH4" i="1"/>
  <c r="AL4" i="1"/>
  <c r="AH5" i="1"/>
  <c r="AL5" i="1"/>
  <c r="AH6" i="1"/>
  <c r="AL6" i="1"/>
  <c r="AH7" i="1"/>
  <c r="AL7" i="1"/>
  <c r="AH8" i="1"/>
  <c r="AL8" i="1"/>
  <c r="AH9" i="1"/>
  <c r="AL9" i="1"/>
  <c r="AH10" i="1"/>
  <c r="AL10" i="1"/>
  <c r="AH11" i="1"/>
  <c r="AL11" i="1"/>
  <c r="AH12" i="1"/>
  <c r="AL12" i="1"/>
  <c r="AH13" i="1"/>
  <c r="AL13" i="1"/>
  <c r="AH14" i="1"/>
  <c r="AL14" i="1"/>
  <c r="AH15" i="1"/>
  <c r="AL15" i="1"/>
  <c r="AH16" i="1"/>
  <c r="AL16" i="1"/>
  <c r="AH17" i="1"/>
  <c r="AL17" i="1"/>
  <c r="AH18" i="1"/>
  <c r="AL18" i="1"/>
  <c r="AH19" i="1"/>
  <c r="AL19" i="1"/>
  <c r="AH20" i="1"/>
  <c r="AL20" i="1"/>
  <c r="AH21" i="1"/>
  <c r="AL21" i="1"/>
  <c r="AH22" i="1"/>
  <c r="AL22" i="1"/>
  <c r="AH23" i="1"/>
  <c r="AL23" i="1"/>
  <c r="AH24" i="1"/>
  <c r="AL24" i="1"/>
  <c r="AH25" i="1"/>
  <c r="AL25" i="1"/>
  <c r="AH26" i="1"/>
  <c r="AL26" i="1"/>
  <c r="AH27" i="1"/>
  <c r="AL27" i="1"/>
  <c r="AH28" i="1"/>
  <c r="AL28" i="1"/>
  <c r="AH29" i="1"/>
  <c r="AL29" i="1"/>
  <c r="AH30" i="1"/>
  <c r="AL30" i="1"/>
  <c r="AH31" i="1"/>
  <c r="AL31" i="1"/>
  <c r="AH32" i="1"/>
  <c r="AL32" i="1"/>
  <c r="AH33" i="1"/>
  <c r="AL33" i="1"/>
  <c r="AH34" i="1"/>
  <c r="AL34" i="1"/>
  <c r="AH35" i="1"/>
  <c r="AL35" i="1"/>
  <c r="AH36" i="1"/>
  <c r="AL36" i="1"/>
  <c r="AH37" i="1"/>
  <c r="AL37" i="1"/>
  <c r="AH38" i="1"/>
  <c r="AL38" i="1"/>
  <c r="AH39" i="1"/>
  <c r="AL39" i="1"/>
  <c r="AH40" i="1"/>
  <c r="AL40" i="1"/>
  <c r="AH41" i="1"/>
  <c r="AL41" i="1"/>
  <c r="AH42" i="1"/>
  <c r="AL42" i="1"/>
  <c r="AH43" i="1"/>
  <c r="AL43" i="1"/>
  <c r="AH44" i="1"/>
  <c r="AL44" i="1"/>
  <c r="AH45" i="1"/>
  <c r="AL45" i="1"/>
  <c r="AH46" i="1"/>
  <c r="AL46" i="1"/>
  <c r="AH47" i="1"/>
  <c r="AL47" i="1"/>
  <c r="AH48" i="1"/>
  <c r="AL48" i="1"/>
  <c r="AH49" i="1"/>
  <c r="AL49" i="1"/>
  <c r="AH50" i="1"/>
  <c r="AL50" i="1"/>
  <c r="AH51" i="1"/>
  <c r="AL51" i="1"/>
  <c r="AH52" i="1"/>
  <c r="AL52" i="1"/>
  <c r="AH53" i="1"/>
  <c r="AL53" i="1"/>
  <c r="AH54" i="1"/>
  <c r="AL54" i="1"/>
  <c r="AH55" i="1"/>
  <c r="AL55" i="1"/>
  <c r="AH56" i="1"/>
  <c r="AL56" i="1"/>
  <c r="AH57" i="1"/>
  <c r="AL57" i="1"/>
  <c r="AI44" i="1"/>
  <c r="AE47" i="1"/>
  <c r="AI48" i="1"/>
  <c r="AE49" i="1"/>
  <c r="AI50" i="1"/>
  <c r="AE51" i="1"/>
  <c r="AE52" i="1"/>
  <c r="AI53" i="1"/>
  <c r="AE54" i="1"/>
  <c r="AI55" i="1"/>
  <c r="AE56" i="1"/>
  <c r="AI57" i="1"/>
  <c r="AF2" i="1"/>
  <c r="AJ2" i="1"/>
  <c r="AG2" i="1"/>
  <c r="AK2" i="1"/>
  <c r="AH2" i="1"/>
  <c r="AL2" i="1"/>
  <c r="AI2" i="1"/>
  <c r="AE2" i="1"/>
  <c r="AM57" i="1"/>
  <c r="AM53" i="1"/>
  <c r="AM49" i="1"/>
  <c r="AM45" i="1"/>
  <c r="AM41" i="1"/>
  <c r="AM37" i="1"/>
  <c r="AM33" i="1"/>
  <c r="AM29" i="1"/>
  <c r="AM25" i="1"/>
  <c r="AM21" i="1"/>
  <c r="AM17" i="1"/>
  <c r="AM13" i="1"/>
  <c r="AM9" i="1"/>
  <c r="AM5" i="1"/>
  <c r="AM56" i="1"/>
  <c r="AM52" i="1"/>
  <c r="AM48" i="1"/>
  <c r="AM44" i="1"/>
  <c r="AM40" i="1"/>
  <c r="AM36" i="1"/>
  <c r="AM32" i="1"/>
  <c r="AM28" i="1"/>
  <c r="AM24" i="1"/>
  <c r="AM20" i="1"/>
  <c r="AM16" i="1"/>
  <c r="AM12" i="1"/>
  <c r="AM8" i="1"/>
  <c r="AM4" i="1"/>
  <c r="AM55" i="1"/>
  <c r="AM51" i="1"/>
  <c r="AM47" i="1"/>
  <c r="AM43" i="1"/>
  <c r="AM39" i="1"/>
  <c r="AM35" i="1"/>
  <c r="AM31" i="1"/>
  <c r="AM27" i="1"/>
  <c r="AM23" i="1"/>
  <c r="AM19" i="1"/>
  <c r="AM15" i="1"/>
  <c r="AM11" i="1"/>
  <c r="AM7" i="1"/>
  <c r="AM3" i="1"/>
  <c r="AM54" i="1"/>
  <c r="AM50" i="1"/>
  <c r="AM46" i="1"/>
  <c r="AM42" i="1"/>
  <c r="AM38" i="1"/>
  <c r="AM34" i="1"/>
  <c r="AM30" i="1"/>
  <c r="AM26" i="1"/>
  <c r="AM22" i="1"/>
  <c r="AM18" i="1"/>
  <c r="AM14" i="1"/>
  <c r="AM10" i="1"/>
  <c r="AM6" i="1"/>
  <c r="AM2" i="1"/>
  <c r="U3" i="1"/>
  <c r="U7" i="1"/>
  <c r="U11" i="1"/>
  <c r="U15" i="1"/>
  <c r="U19" i="1"/>
  <c r="U23" i="1"/>
  <c r="U27" i="1"/>
  <c r="U31" i="1"/>
  <c r="U35" i="1"/>
  <c r="U39" i="1"/>
  <c r="U43" i="1"/>
  <c r="U47" i="1"/>
  <c r="U51" i="1"/>
  <c r="U55" i="1"/>
  <c r="U4" i="1"/>
  <c r="U8" i="1"/>
  <c r="U12" i="1"/>
  <c r="U16" i="1"/>
  <c r="U20" i="1"/>
  <c r="U24" i="1"/>
  <c r="U28" i="1"/>
  <c r="U32" i="1"/>
  <c r="U36" i="1"/>
  <c r="U40" i="1"/>
  <c r="U44" i="1"/>
  <c r="U48" i="1"/>
  <c r="U52" i="1"/>
  <c r="U56" i="1"/>
  <c r="U5" i="1"/>
  <c r="U9" i="1"/>
  <c r="U13" i="1"/>
  <c r="U17" i="1"/>
  <c r="U21" i="1"/>
  <c r="U25" i="1"/>
  <c r="U29" i="1"/>
  <c r="U33" i="1"/>
  <c r="U37" i="1"/>
  <c r="U41" i="1"/>
  <c r="U45" i="1"/>
  <c r="U49" i="1"/>
  <c r="U53" i="1"/>
  <c r="U57" i="1"/>
  <c r="U6" i="1"/>
  <c r="U10" i="1"/>
  <c r="U14" i="1"/>
  <c r="U18" i="1"/>
  <c r="U22" i="1"/>
  <c r="U26" i="1"/>
  <c r="U30" i="1"/>
  <c r="U34" i="1"/>
  <c r="U38" i="1"/>
  <c r="U42" i="1"/>
  <c r="U46" i="1"/>
  <c r="U50" i="1"/>
  <c r="U54" i="1"/>
  <c r="U2" i="1"/>
  <c r="D57" i="1" l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</calcChain>
</file>

<file path=xl/sharedStrings.xml><?xml version="1.0" encoding="utf-8"?>
<sst xmlns="http://schemas.openxmlformats.org/spreadsheetml/2006/main" count="1489" uniqueCount="239">
  <si>
    <t>ADC</t>
  </si>
  <si>
    <t>AND</t>
  </si>
  <si>
    <t>ASL</t>
  </si>
  <si>
    <t>BCC</t>
  </si>
  <si>
    <t>BCS</t>
  </si>
  <si>
    <t>BEQ</t>
  </si>
  <si>
    <t>BIT</t>
  </si>
  <si>
    <t>BMI</t>
  </si>
  <si>
    <t>BNE</t>
  </si>
  <si>
    <t>BPL</t>
  </si>
  <si>
    <t>BRK</t>
  </si>
  <si>
    <t>BVC</t>
  </si>
  <si>
    <t>BVS</t>
  </si>
  <si>
    <t>CLC</t>
  </si>
  <si>
    <t>CLD</t>
  </si>
  <si>
    <t>CLI</t>
  </si>
  <si>
    <t>CLV</t>
  </si>
  <si>
    <t>CMP</t>
  </si>
  <si>
    <t>CPX</t>
  </si>
  <si>
    <t>CPY</t>
  </si>
  <si>
    <t>DEC</t>
  </si>
  <si>
    <t>DEX</t>
  </si>
  <si>
    <t>DEY</t>
  </si>
  <si>
    <t>EOR</t>
  </si>
  <si>
    <t>INC</t>
  </si>
  <si>
    <t>INX</t>
  </si>
  <si>
    <t>INY</t>
  </si>
  <si>
    <t>JMP</t>
  </si>
  <si>
    <t>LDA</t>
  </si>
  <si>
    <t>LDX</t>
  </si>
  <si>
    <t>LDY</t>
  </si>
  <si>
    <t>LSR</t>
  </si>
  <si>
    <t>NOP</t>
  </si>
  <si>
    <t>ORA</t>
  </si>
  <si>
    <t>PHA</t>
  </si>
  <si>
    <t>PHP</t>
  </si>
  <si>
    <t>PLA</t>
  </si>
  <si>
    <t>PLP</t>
  </si>
  <si>
    <t>ROL</t>
  </si>
  <si>
    <t>ROR</t>
  </si>
  <si>
    <t>RTI</t>
  </si>
  <si>
    <t>RTS</t>
  </si>
  <si>
    <t>SBC</t>
  </si>
  <si>
    <t>SEC</t>
  </si>
  <si>
    <t>SED</t>
  </si>
  <si>
    <t>SEI</t>
  </si>
  <si>
    <t>STA</t>
  </si>
  <si>
    <t>STX</t>
  </si>
  <si>
    <t>STY</t>
  </si>
  <si>
    <t>TAX</t>
  </si>
  <si>
    <t>TAY</t>
  </si>
  <si>
    <t>TSX</t>
  </si>
  <si>
    <t>TXA</t>
  </si>
  <si>
    <t>TXS</t>
  </si>
  <si>
    <t>TYA</t>
  </si>
  <si>
    <t>MNENOMIC</t>
  </si>
  <si>
    <t>GROUP</t>
  </si>
  <si>
    <t>JSR</t>
  </si>
  <si>
    <t>69</t>
  </si>
  <si>
    <t>65</t>
  </si>
  <si>
    <t>75</t>
  </si>
  <si>
    <t>6d</t>
  </si>
  <si>
    <t>7d</t>
  </si>
  <si>
    <t>79</t>
  </si>
  <si>
    <t>61</t>
  </si>
  <si>
    <t>71</t>
  </si>
  <si>
    <t>29</t>
  </si>
  <si>
    <t>25</t>
  </si>
  <si>
    <t>35</t>
  </si>
  <si>
    <t>2d</t>
  </si>
  <si>
    <t>3d</t>
  </si>
  <si>
    <t>39</t>
  </si>
  <si>
    <t>2</t>
  </si>
  <si>
    <t>21</t>
  </si>
  <si>
    <t>31</t>
  </si>
  <si>
    <t>0a</t>
  </si>
  <si>
    <t>06</t>
  </si>
  <si>
    <t>16</t>
  </si>
  <si>
    <t>0e</t>
  </si>
  <si>
    <t>1e</t>
  </si>
  <si>
    <t>ff</t>
  </si>
  <si>
    <t>90</t>
  </si>
  <si>
    <t>b0</t>
  </si>
  <si>
    <t>f0</t>
  </si>
  <si>
    <t>24</t>
  </si>
  <si>
    <t>2c</t>
  </si>
  <si>
    <t>30</t>
  </si>
  <si>
    <t>d0</t>
  </si>
  <si>
    <t>10</t>
  </si>
  <si>
    <t>00</t>
  </si>
  <si>
    <t>50</t>
  </si>
  <si>
    <t>70</t>
  </si>
  <si>
    <t>18</t>
  </si>
  <si>
    <t>d8</t>
  </si>
  <si>
    <t>58</t>
  </si>
  <si>
    <t>b8</t>
  </si>
  <si>
    <t>c9</t>
  </si>
  <si>
    <t>c5</t>
  </si>
  <si>
    <t>d5</t>
  </si>
  <si>
    <t>cd</t>
  </si>
  <si>
    <t>dd</t>
  </si>
  <si>
    <t>d9</t>
  </si>
  <si>
    <t>c1</t>
  </si>
  <si>
    <t>d1</t>
  </si>
  <si>
    <t>e0</t>
  </si>
  <si>
    <t>e4</t>
  </si>
  <si>
    <t>ec</t>
  </si>
  <si>
    <t>c0</t>
  </si>
  <si>
    <t>c4</t>
  </si>
  <si>
    <t>cc</t>
  </si>
  <si>
    <t>c6</t>
  </si>
  <si>
    <t>d6</t>
  </si>
  <si>
    <t>ce</t>
  </si>
  <si>
    <t>de</t>
  </si>
  <si>
    <t>ca</t>
  </si>
  <si>
    <t>88</t>
  </si>
  <si>
    <t>49</t>
  </si>
  <si>
    <t>45</t>
  </si>
  <si>
    <t>55</t>
  </si>
  <si>
    <t>4d</t>
  </si>
  <si>
    <t>5d</t>
  </si>
  <si>
    <t>59</t>
  </si>
  <si>
    <t>41</t>
  </si>
  <si>
    <t>51</t>
  </si>
  <si>
    <t>e6</t>
  </si>
  <si>
    <t>f6</t>
  </si>
  <si>
    <t>ee</t>
  </si>
  <si>
    <t>fe</t>
  </si>
  <si>
    <t>e8</t>
  </si>
  <si>
    <t>c8</t>
  </si>
  <si>
    <t>4c</t>
  </si>
  <si>
    <t>6c</t>
  </si>
  <si>
    <t>20</t>
  </si>
  <si>
    <t>a9</t>
  </si>
  <si>
    <t>a5</t>
  </si>
  <si>
    <t>b5</t>
  </si>
  <si>
    <t>ad</t>
  </si>
  <si>
    <t>bd</t>
  </si>
  <si>
    <t>b9</t>
  </si>
  <si>
    <t>a1</t>
  </si>
  <si>
    <t>b1</t>
  </si>
  <si>
    <t>A2</t>
  </si>
  <si>
    <t>A6</t>
  </si>
  <si>
    <t>B6</t>
  </si>
  <si>
    <t>AE</t>
  </si>
  <si>
    <t>BE</t>
  </si>
  <si>
    <t>A0</t>
  </si>
  <si>
    <t>A4</t>
  </si>
  <si>
    <t>B5</t>
  </si>
  <si>
    <t>AC</t>
  </si>
  <si>
    <t>BC</t>
  </si>
  <si>
    <t>4a</t>
  </si>
  <si>
    <t>46</t>
  </si>
  <si>
    <t>56</t>
  </si>
  <si>
    <t>4e</t>
  </si>
  <si>
    <t>5e</t>
  </si>
  <si>
    <t>ea</t>
  </si>
  <si>
    <t>09</t>
  </si>
  <si>
    <t>05</t>
  </si>
  <si>
    <t>15</t>
  </si>
  <si>
    <t>0d</t>
  </si>
  <si>
    <t>1d</t>
  </si>
  <si>
    <t>19</t>
  </si>
  <si>
    <t>01</t>
  </si>
  <si>
    <t>11</t>
  </si>
  <si>
    <t>48</t>
  </si>
  <si>
    <t>08</t>
  </si>
  <si>
    <t>68</t>
  </si>
  <si>
    <t>28</t>
  </si>
  <si>
    <t>2a</t>
  </si>
  <si>
    <t>26</t>
  </si>
  <si>
    <t>36</t>
  </si>
  <si>
    <t>2e</t>
  </si>
  <si>
    <t>3e</t>
  </si>
  <si>
    <t>40</t>
  </si>
  <si>
    <t>60</t>
  </si>
  <si>
    <t>e9</t>
  </si>
  <si>
    <t>e5</t>
  </si>
  <si>
    <t>f5</t>
  </si>
  <si>
    <t>ed</t>
  </si>
  <si>
    <t>fd</t>
  </si>
  <si>
    <t>f9</t>
  </si>
  <si>
    <t>e1</t>
  </si>
  <si>
    <t>f1</t>
  </si>
  <si>
    <t>38</t>
  </si>
  <si>
    <t>f8</t>
  </si>
  <si>
    <t>78</t>
  </si>
  <si>
    <t>85</t>
  </si>
  <si>
    <t>95</t>
  </si>
  <si>
    <t>8d</t>
  </si>
  <si>
    <t>9d</t>
  </si>
  <si>
    <t>99</t>
  </si>
  <si>
    <t>81</t>
  </si>
  <si>
    <t>91</t>
  </si>
  <si>
    <t>86</t>
  </si>
  <si>
    <t>96</t>
  </si>
  <si>
    <t>8e</t>
  </si>
  <si>
    <t>84</t>
  </si>
  <si>
    <t>94</t>
  </si>
  <si>
    <t>8c</t>
  </si>
  <si>
    <t>aa</t>
  </si>
  <si>
    <t>a8</t>
  </si>
  <si>
    <t>98</t>
  </si>
  <si>
    <t>ba</t>
  </si>
  <si>
    <t>8a</t>
  </si>
  <si>
    <t>9a</t>
  </si>
  <si>
    <t>00xx</t>
  </si>
  <si>
    <t>01xx</t>
  </si>
  <si>
    <t>11xx</t>
  </si>
  <si>
    <t>10xx</t>
  </si>
  <si>
    <t>xx00</t>
  </si>
  <si>
    <t>xx01</t>
  </si>
  <si>
    <t>xx11</t>
  </si>
  <si>
    <t>xx10</t>
  </si>
  <si>
    <t>a</t>
  </si>
  <si>
    <t>b</t>
  </si>
  <si>
    <t>c</t>
  </si>
  <si>
    <t>d</t>
  </si>
  <si>
    <t>e</t>
  </si>
  <si>
    <t>f</t>
  </si>
  <si>
    <t>0</t>
  </si>
  <si>
    <t>4</t>
  </si>
  <si>
    <t>C</t>
  </si>
  <si>
    <t>8</t>
  </si>
  <si>
    <t>9</t>
  </si>
  <si>
    <t>B</t>
  </si>
  <si>
    <t>A</t>
  </si>
  <si>
    <t>E</t>
  </si>
  <si>
    <t>6</t>
  </si>
  <si>
    <t>3</t>
  </si>
  <si>
    <t>7</t>
  </si>
  <si>
    <t>F</t>
  </si>
  <si>
    <t>D</t>
  </si>
  <si>
    <t>5</t>
  </si>
  <si>
    <t>1</t>
  </si>
  <si>
    <t>ROR?</t>
  </si>
  <si>
    <t>TAX?</t>
  </si>
  <si>
    <t>Highlight</t>
  </si>
  <si>
    <t>H then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</si>
</sst>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57"/>
  <sheetViews>
    <sheetView topLeftCell="A22" zoomScale="115" zoomScaleNormal="115" workbookViewId="0">
      <selection activeCell="A2" sqref="A2:A57"/>
    </sheetView>
  </sheetViews>
  <sheetFormatPr defaultRowHeight="15" x14ac:dyDescent="0.25"/>
  <cols>
    <col min="1" max="1" width="13.5703125" customWidth="1"/>
    <col min="4" max="4" width="9.140625" style="2"/>
    <col min="5" max="7" width="3.42578125" bestFit="1" customWidth="1"/>
    <col min="8" max="8" width="4.140625" bestFit="1" customWidth="1"/>
    <col min="9" max="12" width="3.42578125" bestFit="1" customWidth="1"/>
  </cols>
  <sheetData>
    <row r="1" spans="1:39" x14ac:dyDescent="0.25">
      <c r="A1" t="s">
        <v>55</v>
      </c>
      <c r="B1" t="s">
        <v>56</v>
      </c>
      <c r="D1" s="2" t="s">
        <v>1</v>
      </c>
      <c r="M1" s="1">
        <v>1</v>
      </c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</row>
    <row r="2" spans="1:39" x14ac:dyDescent="0.25">
      <c r="A2" t="s">
        <v>0</v>
      </c>
      <c r="B2">
        <v>1</v>
      </c>
      <c r="D2" s="2" t="str">
        <f>DEC2HEX(U2)</f>
        <v>61</v>
      </c>
      <c r="E2" s="1" t="s">
        <v>58</v>
      </c>
      <c r="F2" s="1" t="s">
        <v>59</v>
      </c>
      <c r="G2" s="1" t="s">
        <v>60</v>
      </c>
      <c r="H2" s="1" t="s">
        <v>61</v>
      </c>
      <c r="I2" s="1" t="s">
        <v>62</v>
      </c>
      <c r="J2" s="1" t="s">
        <v>63</v>
      </c>
      <c r="K2" s="1" t="s">
        <v>64</v>
      </c>
      <c r="L2" s="1" t="s">
        <v>65</v>
      </c>
      <c r="M2">
        <f>HEX2DEC(E2)</f>
        <v>105</v>
      </c>
      <c r="N2">
        <f t="shared" ref="N2:T2" si="0">HEX2DEC(F2)</f>
        <v>101</v>
      </c>
      <c r="O2">
        <f t="shared" si="0"/>
        <v>117</v>
      </c>
      <c r="P2">
        <f t="shared" si="0"/>
        <v>109</v>
      </c>
      <c r="Q2">
        <f t="shared" si="0"/>
        <v>125</v>
      </c>
      <c r="R2">
        <f t="shared" si="0"/>
        <v>121</v>
      </c>
      <c r="S2">
        <f t="shared" si="0"/>
        <v>97</v>
      </c>
      <c r="T2">
        <f t="shared" si="0"/>
        <v>113</v>
      </c>
      <c r="U2">
        <f t="shared" ref="U2:U33" si="1">BITWISE_AND( BITWISE_AND( BITWISE_AND(M2,N2), BITWISE_AND(O2,P2)), BITWISE_AND( BITWISE_AND(Q2,R2), BITWISE_AND(S2,T2)))</f>
        <v>97</v>
      </c>
      <c r="V2" s="2" t="str">
        <f>DEC2HEX(BITWISE_AND(AM2, 255))</f>
        <v>82</v>
      </c>
      <c r="W2" s="1" t="s">
        <v>58</v>
      </c>
      <c r="X2" s="1" t="s">
        <v>59</v>
      </c>
      <c r="Y2" s="1" t="s">
        <v>60</v>
      </c>
      <c r="Z2" s="1" t="s">
        <v>61</v>
      </c>
      <c r="AA2" s="1" t="s">
        <v>62</v>
      </c>
      <c r="AB2" s="1" t="s">
        <v>63</v>
      </c>
      <c r="AC2" s="1" t="s">
        <v>64</v>
      </c>
      <c r="AD2" s="1" t="s">
        <v>65</v>
      </c>
      <c r="AE2">
        <f>BITWISE_NOT(HEX2DEC(W2))</f>
        <v>-106</v>
      </c>
      <c r="AF2">
        <f t="shared" ref="AF2:AL2" si="2">BITWISE_NOT(HEX2DEC(X2))</f>
        <v>-102</v>
      </c>
      <c r="AG2">
        <f t="shared" si="2"/>
        <v>-118</v>
      </c>
      <c r="AH2">
        <f t="shared" si="2"/>
        <v>-110</v>
      </c>
      <c r="AI2">
        <f t="shared" si="2"/>
        <v>-126</v>
      </c>
      <c r="AJ2">
        <f t="shared" si="2"/>
        <v>-122</v>
      </c>
      <c r="AK2">
        <f t="shared" si="2"/>
        <v>-98</v>
      </c>
      <c r="AL2">
        <f t="shared" si="2"/>
        <v>-114</v>
      </c>
      <c r="AM2">
        <f t="shared" ref="AM2:AM33" si="3">BITWISE_AND( BITWISE_AND( BITWISE_AND(AE2,AF2), BITWISE_AND(AG2,AH2)), BITWISE_AND( BITWISE_AND(AI2,AJ2), BITWISE_AND(AK2,AL2)))</f>
        <v>-126</v>
      </c>
    </row>
    <row r="3" spans="1:39" x14ac:dyDescent="0.25">
      <c r="A3" t="s">
        <v>1</v>
      </c>
      <c r="B3">
        <v>1</v>
      </c>
      <c r="D3" s="2" t="str">
        <f t="shared" ref="D3:D57" si="4">DEC2HEX(U3)</f>
        <v>21</v>
      </c>
      <c r="E3" s="1" t="s">
        <v>66</v>
      </c>
      <c r="F3" s="1" t="s">
        <v>67</v>
      </c>
      <c r="G3" s="1" t="s">
        <v>68</v>
      </c>
      <c r="H3" s="1" t="s">
        <v>69</v>
      </c>
      <c r="I3" s="1" t="s">
        <v>70</v>
      </c>
      <c r="J3" s="1" t="s">
        <v>71</v>
      </c>
      <c r="K3" s="1" t="s">
        <v>73</v>
      </c>
      <c r="L3" s="1" t="s">
        <v>74</v>
      </c>
      <c r="M3">
        <f t="shared" ref="M3:M57" si="5">HEX2DEC(E3)</f>
        <v>41</v>
      </c>
      <c r="N3">
        <f t="shared" ref="N3:N57" si="6">HEX2DEC(F3)</f>
        <v>37</v>
      </c>
      <c r="O3">
        <f t="shared" ref="O3:O57" si="7">HEX2DEC(G3)</f>
        <v>53</v>
      </c>
      <c r="P3">
        <f t="shared" ref="P3:P57" si="8">HEX2DEC(H3)</f>
        <v>45</v>
      </c>
      <c r="Q3">
        <f t="shared" ref="Q3:Q57" si="9">HEX2DEC(I3)</f>
        <v>61</v>
      </c>
      <c r="R3">
        <f t="shared" ref="R3:R57" si="10">HEX2DEC(J3)</f>
        <v>57</v>
      </c>
      <c r="S3">
        <f t="shared" ref="S3:S57" si="11">HEX2DEC(K3)</f>
        <v>33</v>
      </c>
      <c r="T3">
        <f t="shared" ref="T3:T57" si="12">HEX2DEC(L3)</f>
        <v>49</v>
      </c>
      <c r="U3">
        <f t="shared" si="1"/>
        <v>33</v>
      </c>
      <c r="V3" s="2" t="str">
        <f t="shared" ref="V3:V57" si="13">DEC2HEX(BITWISE_AND(AM3, 255))</f>
        <v>C2</v>
      </c>
      <c r="W3" s="1" t="s">
        <v>66</v>
      </c>
      <c r="X3" s="1" t="s">
        <v>67</v>
      </c>
      <c r="Y3" s="1" t="s">
        <v>68</v>
      </c>
      <c r="Z3" s="1" t="s">
        <v>69</v>
      </c>
      <c r="AA3" s="1" t="s">
        <v>70</v>
      </c>
      <c r="AB3" s="1" t="s">
        <v>71</v>
      </c>
      <c r="AC3" s="1" t="s">
        <v>73</v>
      </c>
      <c r="AD3" s="1" t="s">
        <v>74</v>
      </c>
      <c r="AE3">
        <f t="shared" ref="AE3:AE57" si="14">BITWISE_NOT(HEX2DEC(W3))</f>
        <v>-42</v>
      </c>
      <c r="AF3">
        <f t="shared" ref="AF3:AF57" si="15">BITWISE_NOT(HEX2DEC(X3))</f>
        <v>-38</v>
      </c>
      <c r="AG3">
        <f t="shared" ref="AG3:AG57" si="16">BITWISE_NOT(HEX2DEC(Y3))</f>
        <v>-54</v>
      </c>
      <c r="AH3">
        <f t="shared" ref="AH3:AH57" si="17">BITWISE_NOT(HEX2DEC(Z3))</f>
        <v>-46</v>
      </c>
      <c r="AI3">
        <f t="shared" ref="AI3:AI57" si="18">BITWISE_NOT(HEX2DEC(AA3))</f>
        <v>-62</v>
      </c>
      <c r="AJ3">
        <f t="shared" ref="AJ3:AJ57" si="19">BITWISE_NOT(HEX2DEC(AB3))</f>
        <v>-58</v>
      </c>
      <c r="AK3">
        <f t="shared" ref="AK3:AK57" si="20">BITWISE_NOT(HEX2DEC(AC3))</f>
        <v>-34</v>
      </c>
      <c r="AL3">
        <f t="shared" ref="AL3:AL57" si="21">BITWISE_NOT(HEX2DEC(AD3))</f>
        <v>-50</v>
      </c>
      <c r="AM3">
        <f t="shared" si="3"/>
        <v>-62</v>
      </c>
    </row>
    <row r="4" spans="1:39" x14ac:dyDescent="0.25">
      <c r="A4" t="s">
        <v>2</v>
      </c>
      <c r="B4">
        <v>2.1</v>
      </c>
      <c r="D4" s="2" t="str">
        <f t="shared" si="4"/>
        <v>2</v>
      </c>
      <c r="E4" s="1" t="s">
        <v>75</v>
      </c>
      <c r="F4" s="1" t="s">
        <v>76</v>
      </c>
      <c r="G4" s="1" t="s">
        <v>77</v>
      </c>
      <c r="H4" s="1" t="s">
        <v>78</v>
      </c>
      <c r="I4" s="1" t="s">
        <v>79</v>
      </c>
      <c r="J4" s="1" t="s">
        <v>80</v>
      </c>
      <c r="K4" s="1" t="s">
        <v>80</v>
      </c>
      <c r="L4" s="1" t="s">
        <v>80</v>
      </c>
      <c r="M4">
        <f t="shared" si="5"/>
        <v>10</v>
      </c>
      <c r="N4">
        <f t="shared" si="6"/>
        <v>6</v>
      </c>
      <c r="O4">
        <f t="shared" si="7"/>
        <v>22</v>
      </c>
      <c r="P4">
        <f t="shared" si="8"/>
        <v>14</v>
      </c>
      <c r="Q4">
        <f t="shared" si="9"/>
        <v>30</v>
      </c>
      <c r="R4">
        <f t="shared" si="10"/>
        <v>255</v>
      </c>
      <c r="S4">
        <f t="shared" si="11"/>
        <v>255</v>
      </c>
      <c r="T4">
        <f t="shared" si="12"/>
        <v>255</v>
      </c>
      <c r="U4">
        <f t="shared" si="1"/>
        <v>2</v>
      </c>
      <c r="V4" s="2" t="str">
        <f t="shared" si="13"/>
        <v>E1</v>
      </c>
      <c r="W4" s="1" t="s">
        <v>75</v>
      </c>
      <c r="X4" s="1" t="s">
        <v>76</v>
      </c>
      <c r="Y4" s="1" t="s">
        <v>77</v>
      </c>
      <c r="Z4" s="1" t="s">
        <v>78</v>
      </c>
      <c r="AA4" s="1" t="s">
        <v>79</v>
      </c>
      <c r="AB4" s="1"/>
      <c r="AC4" s="1"/>
      <c r="AD4" s="1"/>
      <c r="AE4">
        <f t="shared" si="14"/>
        <v>-11</v>
      </c>
      <c r="AF4">
        <f t="shared" si="15"/>
        <v>-7</v>
      </c>
      <c r="AG4">
        <f t="shared" si="16"/>
        <v>-23</v>
      </c>
      <c r="AH4">
        <f t="shared" si="17"/>
        <v>-15</v>
      </c>
      <c r="AI4">
        <f t="shared" si="18"/>
        <v>-31</v>
      </c>
      <c r="AJ4">
        <f t="shared" si="19"/>
        <v>-1</v>
      </c>
      <c r="AK4">
        <f t="shared" si="20"/>
        <v>-1</v>
      </c>
      <c r="AL4">
        <f t="shared" si="21"/>
        <v>-1</v>
      </c>
      <c r="AM4">
        <f t="shared" si="3"/>
        <v>-31</v>
      </c>
    </row>
    <row r="5" spans="1:39" x14ac:dyDescent="0.25">
      <c r="A5" t="s">
        <v>3</v>
      </c>
      <c r="B5">
        <v>3</v>
      </c>
      <c r="D5" s="2" t="str">
        <f t="shared" si="4"/>
        <v>90</v>
      </c>
      <c r="E5" s="1" t="s">
        <v>81</v>
      </c>
      <c r="F5" s="1" t="s">
        <v>80</v>
      </c>
      <c r="G5" s="1" t="s">
        <v>80</v>
      </c>
      <c r="H5" s="1" t="s">
        <v>80</v>
      </c>
      <c r="I5" s="1" t="s">
        <v>80</v>
      </c>
      <c r="J5" s="1" t="s">
        <v>80</v>
      </c>
      <c r="K5" s="1" t="s">
        <v>80</v>
      </c>
      <c r="L5" s="1" t="s">
        <v>80</v>
      </c>
      <c r="M5">
        <f t="shared" si="5"/>
        <v>144</v>
      </c>
      <c r="N5">
        <f t="shared" si="6"/>
        <v>255</v>
      </c>
      <c r="O5">
        <f t="shared" si="7"/>
        <v>255</v>
      </c>
      <c r="P5">
        <f t="shared" si="8"/>
        <v>255</v>
      </c>
      <c r="Q5">
        <f t="shared" si="9"/>
        <v>255</v>
      </c>
      <c r="R5">
        <f t="shared" si="10"/>
        <v>255</v>
      </c>
      <c r="S5">
        <f t="shared" si="11"/>
        <v>255</v>
      </c>
      <c r="T5">
        <f t="shared" si="12"/>
        <v>255</v>
      </c>
      <c r="U5">
        <f t="shared" si="1"/>
        <v>144</v>
      </c>
      <c r="V5" s="2" t="str">
        <f t="shared" si="13"/>
        <v>6F</v>
      </c>
      <c r="W5" s="1" t="s">
        <v>81</v>
      </c>
      <c r="X5" s="1"/>
      <c r="Y5" s="1"/>
      <c r="Z5" s="1"/>
      <c r="AA5" s="1"/>
      <c r="AB5" s="1"/>
      <c r="AC5" s="1"/>
      <c r="AD5" s="1"/>
      <c r="AE5">
        <f t="shared" si="14"/>
        <v>-145</v>
      </c>
      <c r="AF5">
        <f t="shared" si="15"/>
        <v>-1</v>
      </c>
      <c r="AG5">
        <f t="shared" si="16"/>
        <v>-1</v>
      </c>
      <c r="AH5">
        <f t="shared" si="17"/>
        <v>-1</v>
      </c>
      <c r="AI5">
        <f t="shared" si="18"/>
        <v>-1</v>
      </c>
      <c r="AJ5">
        <f t="shared" si="19"/>
        <v>-1</v>
      </c>
      <c r="AK5">
        <f t="shared" si="20"/>
        <v>-1</v>
      </c>
      <c r="AL5">
        <f t="shared" si="21"/>
        <v>-1</v>
      </c>
      <c r="AM5">
        <f t="shared" si="3"/>
        <v>-145</v>
      </c>
    </row>
    <row r="6" spans="1:39" x14ac:dyDescent="0.25">
      <c r="A6" t="s">
        <v>4</v>
      </c>
      <c r="B6">
        <v>3</v>
      </c>
      <c r="D6" s="2" t="str">
        <f t="shared" si="4"/>
        <v>B0</v>
      </c>
      <c r="E6" s="1" t="s">
        <v>82</v>
      </c>
      <c r="F6" s="1" t="s">
        <v>80</v>
      </c>
      <c r="G6" s="1" t="s">
        <v>80</v>
      </c>
      <c r="H6" s="1" t="s">
        <v>80</v>
      </c>
      <c r="I6" s="1" t="s">
        <v>80</v>
      </c>
      <c r="J6" s="1" t="s">
        <v>80</v>
      </c>
      <c r="K6" s="1" t="s">
        <v>80</v>
      </c>
      <c r="L6" s="1" t="s">
        <v>80</v>
      </c>
      <c r="M6">
        <f t="shared" si="5"/>
        <v>176</v>
      </c>
      <c r="N6">
        <f t="shared" si="6"/>
        <v>255</v>
      </c>
      <c r="O6">
        <f t="shared" si="7"/>
        <v>255</v>
      </c>
      <c r="P6">
        <f t="shared" si="8"/>
        <v>255</v>
      </c>
      <c r="Q6">
        <f t="shared" si="9"/>
        <v>255</v>
      </c>
      <c r="R6">
        <f t="shared" si="10"/>
        <v>255</v>
      </c>
      <c r="S6">
        <f t="shared" si="11"/>
        <v>255</v>
      </c>
      <c r="T6">
        <f t="shared" si="12"/>
        <v>255</v>
      </c>
      <c r="U6">
        <f t="shared" si="1"/>
        <v>176</v>
      </c>
      <c r="V6" s="2" t="str">
        <f t="shared" si="13"/>
        <v>4F</v>
      </c>
      <c r="W6" s="1" t="s">
        <v>82</v>
      </c>
      <c r="X6" s="1"/>
      <c r="Y6" s="1"/>
      <c r="Z6" s="1"/>
      <c r="AA6" s="1"/>
      <c r="AB6" s="1"/>
      <c r="AC6" s="1"/>
      <c r="AD6" s="1"/>
      <c r="AE6">
        <f t="shared" si="14"/>
        <v>-177</v>
      </c>
      <c r="AF6">
        <f t="shared" si="15"/>
        <v>-1</v>
      </c>
      <c r="AG6">
        <f t="shared" si="16"/>
        <v>-1</v>
      </c>
      <c r="AH6">
        <f t="shared" si="17"/>
        <v>-1</v>
      </c>
      <c r="AI6">
        <f t="shared" si="18"/>
        <v>-1</v>
      </c>
      <c r="AJ6">
        <f t="shared" si="19"/>
        <v>-1</v>
      </c>
      <c r="AK6">
        <f t="shared" si="20"/>
        <v>-1</v>
      </c>
      <c r="AL6">
        <f t="shared" si="21"/>
        <v>-1</v>
      </c>
      <c r="AM6">
        <f t="shared" si="3"/>
        <v>-177</v>
      </c>
    </row>
    <row r="7" spans="1:39" x14ac:dyDescent="0.25">
      <c r="A7" t="s">
        <v>5</v>
      </c>
      <c r="B7">
        <v>3</v>
      </c>
      <c r="D7" s="2" t="str">
        <f t="shared" si="4"/>
        <v>F0</v>
      </c>
      <c r="E7" s="1" t="s">
        <v>83</v>
      </c>
      <c r="F7" s="1" t="s">
        <v>80</v>
      </c>
      <c r="G7" s="1" t="s">
        <v>80</v>
      </c>
      <c r="H7" s="1" t="s">
        <v>80</v>
      </c>
      <c r="I7" s="1" t="s">
        <v>80</v>
      </c>
      <c r="J7" s="1" t="s">
        <v>80</v>
      </c>
      <c r="K7" s="1" t="s">
        <v>80</v>
      </c>
      <c r="L7" s="1" t="s">
        <v>80</v>
      </c>
      <c r="M7">
        <f t="shared" si="5"/>
        <v>240</v>
      </c>
      <c r="N7">
        <f t="shared" si="6"/>
        <v>255</v>
      </c>
      <c r="O7">
        <f t="shared" si="7"/>
        <v>255</v>
      </c>
      <c r="P7">
        <f t="shared" si="8"/>
        <v>255</v>
      </c>
      <c r="Q7">
        <f t="shared" si="9"/>
        <v>255</v>
      </c>
      <c r="R7">
        <f t="shared" si="10"/>
        <v>255</v>
      </c>
      <c r="S7">
        <f t="shared" si="11"/>
        <v>255</v>
      </c>
      <c r="T7">
        <f t="shared" si="12"/>
        <v>255</v>
      </c>
      <c r="U7">
        <f t="shared" si="1"/>
        <v>240</v>
      </c>
      <c r="V7" s="2" t="str">
        <f t="shared" si="13"/>
        <v>F</v>
      </c>
      <c r="W7" s="1" t="s">
        <v>83</v>
      </c>
      <c r="X7" s="1"/>
      <c r="Y7" s="1"/>
      <c r="Z7" s="1"/>
      <c r="AA7" s="1"/>
      <c r="AB7" s="1"/>
      <c r="AC7" s="1"/>
      <c r="AD7" s="1"/>
      <c r="AE7">
        <f t="shared" si="14"/>
        <v>-241</v>
      </c>
      <c r="AF7">
        <f t="shared" si="15"/>
        <v>-1</v>
      </c>
      <c r="AG7">
        <f t="shared" si="16"/>
        <v>-1</v>
      </c>
      <c r="AH7">
        <f t="shared" si="17"/>
        <v>-1</v>
      </c>
      <c r="AI7">
        <f t="shared" si="18"/>
        <v>-1</v>
      </c>
      <c r="AJ7">
        <f t="shared" si="19"/>
        <v>-1</v>
      </c>
      <c r="AK7">
        <f t="shared" si="20"/>
        <v>-1</v>
      </c>
      <c r="AL7">
        <f t="shared" si="21"/>
        <v>-1</v>
      </c>
      <c r="AM7">
        <f t="shared" si="3"/>
        <v>-241</v>
      </c>
    </row>
    <row r="8" spans="1:39" x14ac:dyDescent="0.25">
      <c r="A8" t="s">
        <v>6</v>
      </c>
      <c r="B8">
        <v>3</v>
      </c>
      <c r="D8" s="2" t="str">
        <f t="shared" si="4"/>
        <v>24</v>
      </c>
      <c r="E8" s="1" t="s">
        <v>84</v>
      </c>
      <c r="F8" s="1" t="s">
        <v>85</v>
      </c>
      <c r="G8" s="1" t="s">
        <v>80</v>
      </c>
      <c r="H8" s="1" t="s">
        <v>80</v>
      </c>
      <c r="I8" s="1" t="s">
        <v>80</v>
      </c>
      <c r="J8" s="1" t="s">
        <v>80</v>
      </c>
      <c r="K8" s="1" t="s">
        <v>80</v>
      </c>
      <c r="L8" s="1" t="s">
        <v>80</v>
      </c>
      <c r="M8">
        <f t="shared" si="5"/>
        <v>36</v>
      </c>
      <c r="N8">
        <f t="shared" si="6"/>
        <v>44</v>
      </c>
      <c r="O8">
        <f t="shared" si="7"/>
        <v>255</v>
      </c>
      <c r="P8">
        <f t="shared" si="8"/>
        <v>255</v>
      </c>
      <c r="Q8">
        <f t="shared" si="9"/>
        <v>255</v>
      </c>
      <c r="R8">
        <f t="shared" si="10"/>
        <v>255</v>
      </c>
      <c r="S8">
        <f t="shared" si="11"/>
        <v>255</v>
      </c>
      <c r="T8">
        <f t="shared" si="12"/>
        <v>255</v>
      </c>
      <c r="U8">
        <f t="shared" si="1"/>
        <v>36</v>
      </c>
      <c r="V8" s="2" t="str">
        <f t="shared" si="13"/>
        <v>D3</v>
      </c>
      <c r="W8" s="1" t="s">
        <v>84</v>
      </c>
      <c r="X8" s="1" t="s">
        <v>85</v>
      </c>
      <c r="Y8" s="1"/>
      <c r="Z8" s="1"/>
      <c r="AA8" s="1"/>
      <c r="AB8" s="1"/>
      <c r="AC8" s="1"/>
      <c r="AD8" s="1"/>
      <c r="AE8">
        <f t="shared" si="14"/>
        <v>-37</v>
      </c>
      <c r="AF8">
        <f t="shared" si="15"/>
        <v>-45</v>
      </c>
      <c r="AG8">
        <f t="shared" si="16"/>
        <v>-1</v>
      </c>
      <c r="AH8">
        <f t="shared" si="17"/>
        <v>-1</v>
      </c>
      <c r="AI8">
        <f t="shared" si="18"/>
        <v>-1</v>
      </c>
      <c r="AJ8">
        <f t="shared" si="19"/>
        <v>-1</v>
      </c>
      <c r="AK8">
        <f t="shared" si="20"/>
        <v>-1</v>
      </c>
      <c r="AL8">
        <f t="shared" si="21"/>
        <v>-1</v>
      </c>
      <c r="AM8">
        <f t="shared" si="3"/>
        <v>-45</v>
      </c>
    </row>
    <row r="9" spans="1:39" x14ac:dyDescent="0.25">
      <c r="A9" t="s">
        <v>7</v>
      </c>
      <c r="B9">
        <v>3</v>
      </c>
      <c r="D9" s="2" t="str">
        <f t="shared" si="4"/>
        <v>30</v>
      </c>
      <c r="E9" s="1" t="s">
        <v>86</v>
      </c>
      <c r="F9" s="1" t="s">
        <v>80</v>
      </c>
      <c r="G9" s="1" t="s">
        <v>80</v>
      </c>
      <c r="H9" s="1" t="s">
        <v>80</v>
      </c>
      <c r="I9" s="1" t="s">
        <v>80</v>
      </c>
      <c r="J9" s="1" t="s">
        <v>80</v>
      </c>
      <c r="K9" s="1" t="s">
        <v>80</v>
      </c>
      <c r="L9" s="1" t="s">
        <v>80</v>
      </c>
      <c r="M9">
        <f t="shared" si="5"/>
        <v>48</v>
      </c>
      <c r="N9">
        <f t="shared" si="6"/>
        <v>255</v>
      </c>
      <c r="O9">
        <f t="shared" si="7"/>
        <v>255</v>
      </c>
      <c r="P9">
        <f t="shared" si="8"/>
        <v>255</v>
      </c>
      <c r="Q9">
        <f t="shared" si="9"/>
        <v>255</v>
      </c>
      <c r="R9">
        <f t="shared" si="10"/>
        <v>255</v>
      </c>
      <c r="S9">
        <f t="shared" si="11"/>
        <v>255</v>
      </c>
      <c r="T9">
        <f t="shared" si="12"/>
        <v>255</v>
      </c>
      <c r="U9">
        <f t="shared" si="1"/>
        <v>48</v>
      </c>
      <c r="V9" s="2" t="str">
        <f t="shared" si="13"/>
        <v>CF</v>
      </c>
      <c r="W9" s="1" t="s">
        <v>86</v>
      </c>
      <c r="X9" s="1"/>
      <c r="Y9" s="1"/>
      <c r="Z9" s="1"/>
      <c r="AA9" s="1"/>
      <c r="AB9" s="1"/>
      <c r="AC9" s="1"/>
      <c r="AD9" s="1"/>
      <c r="AE9">
        <f t="shared" si="14"/>
        <v>-49</v>
      </c>
      <c r="AF9">
        <f t="shared" si="15"/>
        <v>-1</v>
      </c>
      <c r="AG9">
        <f t="shared" si="16"/>
        <v>-1</v>
      </c>
      <c r="AH9">
        <f t="shared" si="17"/>
        <v>-1</v>
      </c>
      <c r="AI9">
        <f t="shared" si="18"/>
        <v>-1</v>
      </c>
      <c r="AJ9">
        <f t="shared" si="19"/>
        <v>-1</v>
      </c>
      <c r="AK9">
        <f t="shared" si="20"/>
        <v>-1</v>
      </c>
      <c r="AL9">
        <f t="shared" si="21"/>
        <v>-1</v>
      </c>
      <c r="AM9">
        <f t="shared" si="3"/>
        <v>-49</v>
      </c>
    </row>
    <row r="10" spans="1:39" x14ac:dyDescent="0.25">
      <c r="A10" t="s">
        <v>8</v>
      </c>
      <c r="B10">
        <v>3</v>
      </c>
      <c r="D10" s="2" t="str">
        <f t="shared" si="4"/>
        <v>D0</v>
      </c>
      <c r="E10" s="1" t="s">
        <v>87</v>
      </c>
      <c r="F10" s="1" t="s">
        <v>80</v>
      </c>
      <c r="G10" s="1" t="s">
        <v>80</v>
      </c>
      <c r="H10" s="1" t="s">
        <v>80</v>
      </c>
      <c r="I10" s="1" t="s">
        <v>80</v>
      </c>
      <c r="J10" s="1" t="s">
        <v>80</v>
      </c>
      <c r="K10" s="1" t="s">
        <v>80</v>
      </c>
      <c r="L10" s="1" t="s">
        <v>80</v>
      </c>
      <c r="M10">
        <f t="shared" si="5"/>
        <v>208</v>
      </c>
      <c r="N10">
        <f t="shared" si="6"/>
        <v>255</v>
      </c>
      <c r="O10">
        <f t="shared" si="7"/>
        <v>255</v>
      </c>
      <c r="P10">
        <f t="shared" si="8"/>
        <v>255</v>
      </c>
      <c r="Q10">
        <f t="shared" si="9"/>
        <v>255</v>
      </c>
      <c r="R10">
        <f t="shared" si="10"/>
        <v>255</v>
      </c>
      <c r="S10">
        <f t="shared" si="11"/>
        <v>255</v>
      </c>
      <c r="T10">
        <f t="shared" si="12"/>
        <v>255</v>
      </c>
      <c r="U10">
        <f t="shared" si="1"/>
        <v>208</v>
      </c>
      <c r="V10" s="2" t="str">
        <f t="shared" si="13"/>
        <v>2F</v>
      </c>
      <c r="W10" s="1" t="s">
        <v>87</v>
      </c>
      <c r="X10" s="1"/>
      <c r="Y10" s="1"/>
      <c r="Z10" s="1"/>
      <c r="AA10" s="1"/>
      <c r="AB10" s="1"/>
      <c r="AC10" s="1"/>
      <c r="AD10" s="1"/>
      <c r="AE10">
        <f t="shared" si="14"/>
        <v>-209</v>
      </c>
      <c r="AF10">
        <f t="shared" si="15"/>
        <v>-1</v>
      </c>
      <c r="AG10">
        <f t="shared" si="16"/>
        <v>-1</v>
      </c>
      <c r="AH10">
        <f t="shared" si="17"/>
        <v>-1</v>
      </c>
      <c r="AI10">
        <f t="shared" si="18"/>
        <v>-1</v>
      </c>
      <c r="AJ10">
        <f t="shared" si="19"/>
        <v>-1</v>
      </c>
      <c r="AK10">
        <f t="shared" si="20"/>
        <v>-1</v>
      </c>
      <c r="AL10">
        <f t="shared" si="21"/>
        <v>-1</v>
      </c>
      <c r="AM10">
        <f t="shared" si="3"/>
        <v>-209</v>
      </c>
    </row>
    <row r="11" spans="1:39" x14ac:dyDescent="0.25">
      <c r="A11" t="s">
        <v>9</v>
      </c>
      <c r="B11">
        <v>3</v>
      </c>
      <c r="D11" s="2" t="str">
        <f t="shared" si="4"/>
        <v>10</v>
      </c>
      <c r="E11" s="1" t="s">
        <v>88</v>
      </c>
      <c r="F11" s="1" t="s">
        <v>80</v>
      </c>
      <c r="G11" s="1" t="s">
        <v>80</v>
      </c>
      <c r="H11" s="1" t="s">
        <v>80</v>
      </c>
      <c r="I11" s="1" t="s">
        <v>80</v>
      </c>
      <c r="J11" s="1" t="s">
        <v>80</v>
      </c>
      <c r="K11" s="1" t="s">
        <v>80</v>
      </c>
      <c r="L11" s="1" t="s">
        <v>80</v>
      </c>
      <c r="M11">
        <f t="shared" si="5"/>
        <v>16</v>
      </c>
      <c r="N11">
        <f t="shared" si="6"/>
        <v>255</v>
      </c>
      <c r="O11">
        <f t="shared" si="7"/>
        <v>255</v>
      </c>
      <c r="P11">
        <f t="shared" si="8"/>
        <v>255</v>
      </c>
      <c r="Q11">
        <f t="shared" si="9"/>
        <v>255</v>
      </c>
      <c r="R11">
        <f t="shared" si="10"/>
        <v>255</v>
      </c>
      <c r="S11">
        <f t="shared" si="11"/>
        <v>255</v>
      </c>
      <c r="T11">
        <f t="shared" si="12"/>
        <v>255</v>
      </c>
      <c r="U11">
        <f t="shared" si="1"/>
        <v>16</v>
      </c>
      <c r="V11" s="2" t="str">
        <f t="shared" si="13"/>
        <v>EF</v>
      </c>
      <c r="W11" s="1" t="s">
        <v>88</v>
      </c>
      <c r="X11" s="1"/>
      <c r="Y11" s="1"/>
      <c r="Z11" s="1"/>
      <c r="AA11" s="1"/>
      <c r="AB11" s="1"/>
      <c r="AC11" s="1"/>
      <c r="AD11" s="1"/>
      <c r="AE11">
        <f t="shared" si="14"/>
        <v>-17</v>
      </c>
      <c r="AF11">
        <f t="shared" si="15"/>
        <v>-1</v>
      </c>
      <c r="AG11">
        <f t="shared" si="16"/>
        <v>-1</v>
      </c>
      <c r="AH11">
        <f t="shared" si="17"/>
        <v>-1</v>
      </c>
      <c r="AI11">
        <f t="shared" si="18"/>
        <v>-1</v>
      </c>
      <c r="AJ11">
        <f t="shared" si="19"/>
        <v>-1</v>
      </c>
      <c r="AK11">
        <f t="shared" si="20"/>
        <v>-1</v>
      </c>
      <c r="AL11">
        <f t="shared" si="21"/>
        <v>-1</v>
      </c>
      <c r="AM11">
        <f t="shared" si="3"/>
        <v>-17</v>
      </c>
    </row>
    <row r="12" spans="1:39" x14ac:dyDescent="0.25">
      <c r="A12" t="s">
        <v>10</v>
      </c>
      <c r="B12">
        <v>3</v>
      </c>
      <c r="D12" s="2" t="str">
        <f t="shared" si="4"/>
        <v>0</v>
      </c>
      <c r="E12" s="1" t="s">
        <v>89</v>
      </c>
      <c r="F12" s="1" t="s">
        <v>80</v>
      </c>
      <c r="G12" s="1" t="s">
        <v>80</v>
      </c>
      <c r="H12" s="1" t="s">
        <v>80</v>
      </c>
      <c r="I12" s="1" t="s">
        <v>80</v>
      </c>
      <c r="J12" s="1" t="s">
        <v>80</v>
      </c>
      <c r="K12" s="1" t="s">
        <v>80</v>
      </c>
      <c r="L12" s="1" t="s">
        <v>80</v>
      </c>
      <c r="M12">
        <f t="shared" si="5"/>
        <v>0</v>
      </c>
      <c r="N12">
        <f t="shared" si="6"/>
        <v>255</v>
      </c>
      <c r="O12">
        <f t="shared" si="7"/>
        <v>255</v>
      </c>
      <c r="P12">
        <f t="shared" si="8"/>
        <v>255</v>
      </c>
      <c r="Q12">
        <f t="shared" si="9"/>
        <v>255</v>
      </c>
      <c r="R12">
        <f t="shared" si="10"/>
        <v>255</v>
      </c>
      <c r="S12">
        <f t="shared" si="11"/>
        <v>255</v>
      </c>
      <c r="T12">
        <f t="shared" si="12"/>
        <v>255</v>
      </c>
      <c r="U12">
        <f t="shared" si="1"/>
        <v>0</v>
      </c>
      <c r="V12" s="2" t="str">
        <f t="shared" si="13"/>
        <v>FF</v>
      </c>
      <c r="W12" s="1" t="s">
        <v>89</v>
      </c>
      <c r="X12" s="1"/>
      <c r="Y12" s="1"/>
      <c r="Z12" s="1"/>
      <c r="AA12" s="1"/>
      <c r="AB12" s="1"/>
      <c r="AC12" s="1"/>
      <c r="AD12" s="1"/>
      <c r="AE12">
        <f t="shared" si="14"/>
        <v>-1</v>
      </c>
      <c r="AF12">
        <f t="shared" si="15"/>
        <v>-1</v>
      </c>
      <c r="AG12">
        <f t="shared" si="16"/>
        <v>-1</v>
      </c>
      <c r="AH12">
        <f t="shared" si="17"/>
        <v>-1</v>
      </c>
      <c r="AI12">
        <f t="shared" si="18"/>
        <v>-1</v>
      </c>
      <c r="AJ12">
        <f t="shared" si="19"/>
        <v>-1</v>
      </c>
      <c r="AK12">
        <f t="shared" si="20"/>
        <v>-1</v>
      </c>
      <c r="AL12">
        <f t="shared" si="21"/>
        <v>-1</v>
      </c>
      <c r="AM12">
        <f t="shared" si="3"/>
        <v>-1</v>
      </c>
    </row>
    <row r="13" spans="1:39" x14ac:dyDescent="0.25">
      <c r="A13" t="s">
        <v>11</v>
      </c>
      <c r="B13">
        <v>3</v>
      </c>
      <c r="D13" s="2" t="str">
        <f t="shared" si="4"/>
        <v>50</v>
      </c>
      <c r="E13" s="1" t="s">
        <v>90</v>
      </c>
      <c r="F13" s="1" t="s">
        <v>80</v>
      </c>
      <c r="G13" s="1" t="s">
        <v>80</v>
      </c>
      <c r="H13" s="1" t="s">
        <v>80</v>
      </c>
      <c r="I13" s="1" t="s">
        <v>80</v>
      </c>
      <c r="J13" s="1" t="s">
        <v>80</v>
      </c>
      <c r="K13" s="1" t="s">
        <v>80</v>
      </c>
      <c r="L13" s="1" t="s">
        <v>80</v>
      </c>
      <c r="M13">
        <f t="shared" si="5"/>
        <v>80</v>
      </c>
      <c r="N13">
        <f t="shared" si="6"/>
        <v>255</v>
      </c>
      <c r="O13">
        <f t="shared" si="7"/>
        <v>255</v>
      </c>
      <c r="P13">
        <f t="shared" si="8"/>
        <v>255</v>
      </c>
      <c r="Q13">
        <f t="shared" si="9"/>
        <v>255</v>
      </c>
      <c r="R13">
        <f t="shared" si="10"/>
        <v>255</v>
      </c>
      <c r="S13">
        <f t="shared" si="11"/>
        <v>255</v>
      </c>
      <c r="T13">
        <f t="shared" si="12"/>
        <v>255</v>
      </c>
      <c r="U13">
        <f t="shared" si="1"/>
        <v>80</v>
      </c>
      <c r="V13" s="2" t="str">
        <f t="shared" si="13"/>
        <v>AF</v>
      </c>
      <c r="W13" s="1" t="s">
        <v>90</v>
      </c>
      <c r="X13" s="1"/>
      <c r="Y13" s="1"/>
      <c r="Z13" s="1"/>
      <c r="AA13" s="1"/>
      <c r="AB13" s="1"/>
      <c r="AC13" s="1"/>
      <c r="AD13" s="1"/>
      <c r="AE13">
        <f t="shared" si="14"/>
        <v>-81</v>
      </c>
      <c r="AF13">
        <f t="shared" si="15"/>
        <v>-1</v>
      </c>
      <c r="AG13">
        <f t="shared" si="16"/>
        <v>-1</v>
      </c>
      <c r="AH13">
        <f t="shared" si="17"/>
        <v>-1</v>
      </c>
      <c r="AI13">
        <f t="shared" si="18"/>
        <v>-1</v>
      </c>
      <c r="AJ13">
        <f t="shared" si="19"/>
        <v>-1</v>
      </c>
      <c r="AK13">
        <f t="shared" si="20"/>
        <v>-1</v>
      </c>
      <c r="AL13">
        <f t="shared" si="21"/>
        <v>-1</v>
      </c>
      <c r="AM13">
        <f t="shared" si="3"/>
        <v>-81</v>
      </c>
    </row>
    <row r="14" spans="1:39" x14ac:dyDescent="0.25">
      <c r="A14" t="s">
        <v>12</v>
      </c>
      <c r="B14">
        <v>3</v>
      </c>
      <c r="D14" s="2" t="str">
        <f t="shared" si="4"/>
        <v>70</v>
      </c>
      <c r="E14" s="1" t="s">
        <v>91</v>
      </c>
      <c r="F14" s="1" t="s">
        <v>80</v>
      </c>
      <c r="G14" s="1" t="s">
        <v>80</v>
      </c>
      <c r="H14" s="1" t="s">
        <v>80</v>
      </c>
      <c r="I14" s="1" t="s">
        <v>80</v>
      </c>
      <c r="J14" s="1" t="s">
        <v>80</v>
      </c>
      <c r="K14" s="1" t="s">
        <v>80</v>
      </c>
      <c r="L14" s="1" t="s">
        <v>80</v>
      </c>
      <c r="M14">
        <f t="shared" si="5"/>
        <v>112</v>
      </c>
      <c r="N14">
        <f t="shared" si="6"/>
        <v>255</v>
      </c>
      <c r="O14">
        <f t="shared" si="7"/>
        <v>255</v>
      </c>
      <c r="P14">
        <f t="shared" si="8"/>
        <v>255</v>
      </c>
      <c r="Q14">
        <f t="shared" si="9"/>
        <v>255</v>
      </c>
      <c r="R14">
        <f t="shared" si="10"/>
        <v>255</v>
      </c>
      <c r="S14">
        <f t="shared" si="11"/>
        <v>255</v>
      </c>
      <c r="T14">
        <f t="shared" si="12"/>
        <v>255</v>
      </c>
      <c r="U14">
        <f t="shared" si="1"/>
        <v>112</v>
      </c>
      <c r="V14" s="2" t="str">
        <f t="shared" si="13"/>
        <v>8F</v>
      </c>
      <c r="W14" s="1" t="s">
        <v>91</v>
      </c>
      <c r="X14" s="1"/>
      <c r="Y14" s="1"/>
      <c r="Z14" s="1"/>
      <c r="AA14" s="1"/>
      <c r="AB14" s="1"/>
      <c r="AC14" s="1"/>
      <c r="AD14" s="1"/>
      <c r="AE14">
        <f t="shared" si="14"/>
        <v>-113</v>
      </c>
      <c r="AF14">
        <f t="shared" si="15"/>
        <v>-1</v>
      </c>
      <c r="AG14">
        <f t="shared" si="16"/>
        <v>-1</v>
      </c>
      <c r="AH14">
        <f t="shared" si="17"/>
        <v>-1</v>
      </c>
      <c r="AI14">
        <f t="shared" si="18"/>
        <v>-1</v>
      </c>
      <c r="AJ14">
        <f t="shared" si="19"/>
        <v>-1</v>
      </c>
      <c r="AK14">
        <f t="shared" si="20"/>
        <v>-1</v>
      </c>
      <c r="AL14">
        <f t="shared" si="21"/>
        <v>-1</v>
      </c>
      <c r="AM14">
        <f t="shared" si="3"/>
        <v>-113</v>
      </c>
    </row>
    <row r="15" spans="1:39" x14ac:dyDescent="0.25">
      <c r="A15" t="s">
        <v>13</v>
      </c>
      <c r="B15">
        <v>3</v>
      </c>
      <c r="D15" s="2" t="str">
        <f t="shared" si="4"/>
        <v>18</v>
      </c>
      <c r="E15" s="1" t="s">
        <v>92</v>
      </c>
      <c r="F15" s="1" t="s">
        <v>80</v>
      </c>
      <c r="G15" s="1" t="s">
        <v>80</v>
      </c>
      <c r="H15" s="1" t="s">
        <v>80</v>
      </c>
      <c r="I15" s="1" t="s">
        <v>80</v>
      </c>
      <c r="J15" s="1" t="s">
        <v>80</v>
      </c>
      <c r="K15" s="1" t="s">
        <v>80</v>
      </c>
      <c r="L15" s="1" t="s">
        <v>80</v>
      </c>
      <c r="M15">
        <f t="shared" si="5"/>
        <v>24</v>
      </c>
      <c r="N15">
        <f t="shared" si="6"/>
        <v>255</v>
      </c>
      <c r="O15">
        <f t="shared" si="7"/>
        <v>255</v>
      </c>
      <c r="P15">
        <f t="shared" si="8"/>
        <v>255</v>
      </c>
      <c r="Q15">
        <f t="shared" si="9"/>
        <v>255</v>
      </c>
      <c r="R15">
        <f t="shared" si="10"/>
        <v>255</v>
      </c>
      <c r="S15">
        <f t="shared" si="11"/>
        <v>255</v>
      </c>
      <c r="T15">
        <f t="shared" si="12"/>
        <v>255</v>
      </c>
      <c r="U15">
        <f t="shared" si="1"/>
        <v>24</v>
      </c>
      <c r="V15" s="2" t="str">
        <f t="shared" si="13"/>
        <v>E7</v>
      </c>
      <c r="W15" s="1" t="s">
        <v>92</v>
      </c>
      <c r="X15" s="1"/>
      <c r="Y15" s="1"/>
      <c r="Z15" s="1"/>
      <c r="AA15" s="1"/>
      <c r="AB15" s="1"/>
      <c r="AC15" s="1"/>
      <c r="AD15" s="1"/>
      <c r="AE15">
        <f t="shared" si="14"/>
        <v>-25</v>
      </c>
      <c r="AF15">
        <f t="shared" si="15"/>
        <v>-1</v>
      </c>
      <c r="AG15">
        <f t="shared" si="16"/>
        <v>-1</v>
      </c>
      <c r="AH15">
        <f t="shared" si="17"/>
        <v>-1</v>
      </c>
      <c r="AI15">
        <f t="shared" si="18"/>
        <v>-1</v>
      </c>
      <c r="AJ15">
        <f t="shared" si="19"/>
        <v>-1</v>
      </c>
      <c r="AK15">
        <f t="shared" si="20"/>
        <v>-1</v>
      </c>
      <c r="AL15">
        <f t="shared" si="21"/>
        <v>-1</v>
      </c>
      <c r="AM15">
        <f t="shared" si="3"/>
        <v>-25</v>
      </c>
    </row>
    <row r="16" spans="1:39" x14ac:dyDescent="0.25">
      <c r="A16" t="s">
        <v>14</v>
      </c>
      <c r="B16">
        <v>3</v>
      </c>
      <c r="D16" s="2" t="str">
        <f t="shared" si="4"/>
        <v>D8</v>
      </c>
      <c r="E16" s="1" t="s">
        <v>93</v>
      </c>
      <c r="F16" s="1" t="s">
        <v>80</v>
      </c>
      <c r="G16" s="1" t="s">
        <v>80</v>
      </c>
      <c r="H16" s="1" t="s">
        <v>80</v>
      </c>
      <c r="I16" s="1" t="s">
        <v>80</v>
      </c>
      <c r="J16" s="1" t="s">
        <v>80</v>
      </c>
      <c r="K16" s="1" t="s">
        <v>80</v>
      </c>
      <c r="L16" s="1" t="s">
        <v>80</v>
      </c>
      <c r="M16">
        <f t="shared" si="5"/>
        <v>216</v>
      </c>
      <c r="N16">
        <f t="shared" si="6"/>
        <v>255</v>
      </c>
      <c r="O16">
        <f t="shared" si="7"/>
        <v>255</v>
      </c>
      <c r="P16">
        <f t="shared" si="8"/>
        <v>255</v>
      </c>
      <c r="Q16">
        <f t="shared" si="9"/>
        <v>255</v>
      </c>
      <c r="R16">
        <f t="shared" si="10"/>
        <v>255</v>
      </c>
      <c r="S16">
        <f t="shared" si="11"/>
        <v>255</v>
      </c>
      <c r="T16">
        <f t="shared" si="12"/>
        <v>255</v>
      </c>
      <c r="U16">
        <f t="shared" si="1"/>
        <v>216</v>
      </c>
      <c r="V16" s="2" t="str">
        <f t="shared" si="13"/>
        <v>27</v>
      </c>
      <c r="W16" s="1" t="s">
        <v>93</v>
      </c>
      <c r="X16" s="1"/>
      <c r="Y16" s="1"/>
      <c r="Z16" s="1"/>
      <c r="AA16" s="1"/>
      <c r="AB16" s="1"/>
      <c r="AC16" s="1"/>
      <c r="AD16" s="1"/>
      <c r="AE16">
        <f t="shared" si="14"/>
        <v>-217</v>
      </c>
      <c r="AF16">
        <f t="shared" si="15"/>
        <v>-1</v>
      </c>
      <c r="AG16">
        <f t="shared" si="16"/>
        <v>-1</v>
      </c>
      <c r="AH16">
        <f t="shared" si="17"/>
        <v>-1</v>
      </c>
      <c r="AI16">
        <f t="shared" si="18"/>
        <v>-1</v>
      </c>
      <c r="AJ16">
        <f t="shared" si="19"/>
        <v>-1</v>
      </c>
      <c r="AK16">
        <f t="shared" si="20"/>
        <v>-1</v>
      </c>
      <c r="AL16">
        <f t="shared" si="21"/>
        <v>-1</v>
      </c>
      <c r="AM16">
        <f t="shared" si="3"/>
        <v>-217</v>
      </c>
    </row>
    <row r="17" spans="1:39" x14ac:dyDescent="0.25">
      <c r="A17" t="s">
        <v>15</v>
      </c>
      <c r="B17">
        <v>3</v>
      </c>
      <c r="D17" s="2" t="str">
        <f t="shared" si="4"/>
        <v>58</v>
      </c>
      <c r="E17" s="1" t="s">
        <v>94</v>
      </c>
      <c r="F17" s="1" t="s">
        <v>80</v>
      </c>
      <c r="G17" s="1" t="s">
        <v>80</v>
      </c>
      <c r="H17" s="1" t="s">
        <v>80</v>
      </c>
      <c r="I17" s="1" t="s">
        <v>80</v>
      </c>
      <c r="J17" s="1" t="s">
        <v>80</v>
      </c>
      <c r="K17" s="1" t="s">
        <v>80</v>
      </c>
      <c r="L17" s="1" t="s">
        <v>80</v>
      </c>
      <c r="M17">
        <f t="shared" si="5"/>
        <v>88</v>
      </c>
      <c r="N17">
        <f t="shared" si="6"/>
        <v>255</v>
      </c>
      <c r="O17">
        <f t="shared" si="7"/>
        <v>255</v>
      </c>
      <c r="P17">
        <f t="shared" si="8"/>
        <v>255</v>
      </c>
      <c r="Q17">
        <f t="shared" si="9"/>
        <v>255</v>
      </c>
      <c r="R17">
        <f t="shared" si="10"/>
        <v>255</v>
      </c>
      <c r="S17">
        <f t="shared" si="11"/>
        <v>255</v>
      </c>
      <c r="T17">
        <f t="shared" si="12"/>
        <v>255</v>
      </c>
      <c r="U17">
        <f t="shared" si="1"/>
        <v>88</v>
      </c>
      <c r="V17" s="2" t="str">
        <f t="shared" si="13"/>
        <v>A7</v>
      </c>
      <c r="W17" s="1" t="s">
        <v>94</v>
      </c>
      <c r="X17" s="1"/>
      <c r="Y17" s="1"/>
      <c r="Z17" s="1"/>
      <c r="AA17" s="1"/>
      <c r="AB17" s="1"/>
      <c r="AC17" s="1"/>
      <c r="AD17" s="1"/>
      <c r="AE17">
        <f t="shared" si="14"/>
        <v>-89</v>
      </c>
      <c r="AF17">
        <f t="shared" si="15"/>
        <v>-1</v>
      </c>
      <c r="AG17">
        <f t="shared" si="16"/>
        <v>-1</v>
      </c>
      <c r="AH17">
        <f t="shared" si="17"/>
        <v>-1</v>
      </c>
      <c r="AI17">
        <f t="shared" si="18"/>
        <v>-1</v>
      </c>
      <c r="AJ17">
        <f t="shared" si="19"/>
        <v>-1</v>
      </c>
      <c r="AK17">
        <f t="shared" si="20"/>
        <v>-1</v>
      </c>
      <c r="AL17">
        <f t="shared" si="21"/>
        <v>-1</v>
      </c>
      <c r="AM17">
        <f t="shared" si="3"/>
        <v>-89</v>
      </c>
    </row>
    <row r="18" spans="1:39" x14ac:dyDescent="0.25">
      <c r="A18" t="s">
        <v>16</v>
      </c>
      <c r="B18">
        <v>3</v>
      </c>
      <c r="D18" s="2" t="str">
        <f t="shared" si="4"/>
        <v>B8</v>
      </c>
      <c r="E18" s="1" t="s">
        <v>95</v>
      </c>
      <c r="F18" s="1" t="s">
        <v>80</v>
      </c>
      <c r="G18" s="1" t="s">
        <v>80</v>
      </c>
      <c r="H18" s="1" t="s">
        <v>80</v>
      </c>
      <c r="I18" s="1" t="s">
        <v>80</v>
      </c>
      <c r="J18" s="1" t="s">
        <v>80</v>
      </c>
      <c r="K18" s="1" t="s">
        <v>80</v>
      </c>
      <c r="L18" s="1" t="s">
        <v>80</v>
      </c>
      <c r="M18">
        <f t="shared" si="5"/>
        <v>184</v>
      </c>
      <c r="N18">
        <f t="shared" si="6"/>
        <v>255</v>
      </c>
      <c r="O18">
        <f t="shared" si="7"/>
        <v>255</v>
      </c>
      <c r="P18">
        <f t="shared" si="8"/>
        <v>255</v>
      </c>
      <c r="Q18">
        <f t="shared" si="9"/>
        <v>255</v>
      </c>
      <c r="R18">
        <f t="shared" si="10"/>
        <v>255</v>
      </c>
      <c r="S18">
        <f t="shared" si="11"/>
        <v>255</v>
      </c>
      <c r="T18">
        <f t="shared" si="12"/>
        <v>255</v>
      </c>
      <c r="U18">
        <f t="shared" si="1"/>
        <v>184</v>
      </c>
      <c r="V18" s="2" t="str">
        <f t="shared" si="13"/>
        <v>47</v>
      </c>
      <c r="W18" s="1" t="s">
        <v>95</v>
      </c>
      <c r="X18" s="1"/>
      <c r="Y18" s="1"/>
      <c r="Z18" s="1"/>
      <c r="AA18" s="1"/>
      <c r="AB18" s="1"/>
      <c r="AC18" s="1"/>
      <c r="AD18" s="1"/>
      <c r="AE18">
        <f t="shared" si="14"/>
        <v>-185</v>
      </c>
      <c r="AF18">
        <f t="shared" si="15"/>
        <v>-1</v>
      </c>
      <c r="AG18">
        <f t="shared" si="16"/>
        <v>-1</v>
      </c>
      <c r="AH18">
        <f t="shared" si="17"/>
        <v>-1</v>
      </c>
      <c r="AI18">
        <f t="shared" si="18"/>
        <v>-1</v>
      </c>
      <c r="AJ18">
        <f t="shared" si="19"/>
        <v>-1</v>
      </c>
      <c r="AK18">
        <f t="shared" si="20"/>
        <v>-1</v>
      </c>
      <c r="AL18">
        <f t="shared" si="21"/>
        <v>-1</v>
      </c>
      <c r="AM18">
        <f t="shared" si="3"/>
        <v>-185</v>
      </c>
    </row>
    <row r="19" spans="1:39" x14ac:dyDescent="0.25">
      <c r="A19" t="s">
        <v>17</v>
      </c>
      <c r="B19">
        <v>1</v>
      </c>
      <c r="D19" s="2" t="str">
        <f t="shared" si="4"/>
        <v>C1</v>
      </c>
      <c r="E19" s="1" t="s">
        <v>96</v>
      </c>
      <c r="F19" s="1" t="s">
        <v>97</v>
      </c>
      <c r="G19" s="1" t="s">
        <v>98</v>
      </c>
      <c r="H19" s="1" t="s">
        <v>99</v>
      </c>
      <c r="I19" s="1" t="s">
        <v>100</v>
      </c>
      <c r="J19" s="1" t="s">
        <v>101</v>
      </c>
      <c r="K19" s="1" t="s">
        <v>102</v>
      </c>
      <c r="L19" s="1" t="s">
        <v>103</v>
      </c>
      <c r="M19">
        <f t="shared" si="5"/>
        <v>201</v>
      </c>
      <c r="N19">
        <f t="shared" si="6"/>
        <v>197</v>
      </c>
      <c r="O19">
        <f t="shared" si="7"/>
        <v>213</v>
      </c>
      <c r="P19">
        <f t="shared" si="8"/>
        <v>205</v>
      </c>
      <c r="Q19">
        <f t="shared" si="9"/>
        <v>221</v>
      </c>
      <c r="R19">
        <f t="shared" si="10"/>
        <v>217</v>
      </c>
      <c r="S19">
        <f t="shared" si="11"/>
        <v>193</v>
      </c>
      <c r="T19">
        <f t="shared" si="12"/>
        <v>209</v>
      </c>
      <c r="U19">
        <f t="shared" si="1"/>
        <v>193</v>
      </c>
      <c r="V19" s="2" t="str">
        <f t="shared" si="13"/>
        <v>22</v>
      </c>
      <c r="W19" s="1" t="s">
        <v>96</v>
      </c>
      <c r="X19" s="1" t="s">
        <v>97</v>
      </c>
      <c r="Y19" s="1" t="s">
        <v>98</v>
      </c>
      <c r="Z19" s="1" t="s">
        <v>99</v>
      </c>
      <c r="AA19" s="1" t="s">
        <v>100</v>
      </c>
      <c r="AB19" s="1" t="s">
        <v>101</v>
      </c>
      <c r="AC19" s="1" t="s">
        <v>102</v>
      </c>
      <c r="AD19" s="1" t="s">
        <v>103</v>
      </c>
      <c r="AE19">
        <f t="shared" si="14"/>
        <v>-202</v>
      </c>
      <c r="AF19">
        <f t="shared" si="15"/>
        <v>-198</v>
      </c>
      <c r="AG19">
        <f t="shared" si="16"/>
        <v>-214</v>
      </c>
      <c r="AH19">
        <f t="shared" si="17"/>
        <v>-206</v>
      </c>
      <c r="AI19">
        <f t="shared" si="18"/>
        <v>-222</v>
      </c>
      <c r="AJ19">
        <f t="shared" si="19"/>
        <v>-218</v>
      </c>
      <c r="AK19">
        <f t="shared" si="20"/>
        <v>-194</v>
      </c>
      <c r="AL19">
        <f t="shared" si="21"/>
        <v>-210</v>
      </c>
      <c r="AM19">
        <f t="shared" si="3"/>
        <v>-222</v>
      </c>
    </row>
    <row r="20" spans="1:39" x14ac:dyDescent="0.25">
      <c r="A20" t="s">
        <v>18</v>
      </c>
      <c r="B20">
        <v>3</v>
      </c>
      <c r="D20" s="2" t="str">
        <f t="shared" si="4"/>
        <v>E0</v>
      </c>
      <c r="E20" s="1" t="s">
        <v>104</v>
      </c>
      <c r="F20" s="1" t="s">
        <v>105</v>
      </c>
      <c r="G20" s="1" t="s">
        <v>106</v>
      </c>
      <c r="H20" s="1" t="s">
        <v>80</v>
      </c>
      <c r="I20" s="1" t="s">
        <v>80</v>
      </c>
      <c r="J20" s="1" t="s">
        <v>80</v>
      </c>
      <c r="K20" s="1" t="s">
        <v>80</v>
      </c>
      <c r="L20" s="1" t="s">
        <v>80</v>
      </c>
      <c r="M20">
        <f t="shared" si="5"/>
        <v>224</v>
      </c>
      <c r="N20">
        <f t="shared" si="6"/>
        <v>228</v>
      </c>
      <c r="O20">
        <f t="shared" si="7"/>
        <v>236</v>
      </c>
      <c r="P20">
        <f t="shared" si="8"/>
        <v>255</v>
      </c>
      <c r="Q20">
        <f t="shared" si="9"/>
        <v>255</v>
      </c>
      <c r="R20">
        <f t="shared" si="10"/>
        <v>255</v>
      </c>
      <c r="S20">
        <f t="shared" si="11"/>
        <v>255</v>
      </c>
      <c r="T20">
        <f t="shared" si="12"/>
        <v>255</v>
      </c>
      <c r="U20">
        <f t="shared" si="1"/>
        <v>224</v>
      </c>
      <c r="V20" s="2" t="str">
        <f t="shared" si="13"/>
        <v>13</v>
      </c>
      <c r="W20" s="1" t="s">
        <v>104</v>
      </c>
      <c r="X20" s="1" t="s">
        <v>105</v>
      </c>
      <c r="Y20" s="1" t="s">
        <v>106</v>
      </c>
      <c r="Z20" s="1"/>
      <c r="AA20" s="1"/>
      <c r="AB20" s="1"/>
      <c r="AC20" s="1"/>
      <c r="AD20" s="1"/>
      <c r="AE20">
        <f t="shared" si="14"/>
        <v>-225</v>
      </c>
      <c r="AF20">
        <f t="shared" si="15"/>
        <v>-229</v>
      </c>
      <c r="AG20">
        <f t="shared" si="16"/>
        <v>-237</v>
      </c>
      <c r="AH20">
        <f t="shared" si="17"/>
        <v>-1</v>
      </c>
      <c r="AI20">
        <f t="shared" si="18"/>
        <v>-1</v>
      </c>
      <c r="AJ20">
        <f t="shared" si="19"/>
        <v>-1</v>
      </c>
      <c r="AK20">
        <f t="shared" si="20"/>
        <v>-1</v>
      </c>
      <c r="AL20">
        <f t="shared" si="21"/>
        <v>-1</v>
      </c>
      <c r="AM20">
        <f t="shared" si="3"/>
        <v>-237</v>
      </c>
    </row>
    <row r="21" spans="1:39" x14ac:dyDescent="0.25">
      <c r="A21" t="s">
        <v>19</v>
      </c>
      <c r="B21">
        <v>3</v>
      </c>
      <c r="D21" s="2" t="str">
        <f t="shared" si="4"/>
        <v>C0</v>
      </c>
      <c r="E21" s="1" t="s">
        <v>107</v>
      </c>
      <c r="F21" s="1" t="s">
        <v>108</v>
      </c>
      <c r="G21" s="1" t="s">
        <v>109</v>
      </c>
      <c r="H21" s="1" t="s">
        <v>80</v>
      </c>
      <c r="I21" s="1" t="s">
        <v>80</v>
      </c>
      <c r="J21" s="1" t="s">
        <v>80</v>
      </c>
      <c r="K21" s="1" t="s">
        <v>80</v>
      </c>
      <c r="L21" s="1" t="s">
        <v>80</v>
      </c>
      <c r="M21">
        <f t="shared" si="5"/>
        <v>192</v>
      </c>
      <c r="N21">
        <f t="shared" si="6"/>
        <v>196</v>
      </c>
      <c r="O21">
        <f t="shared" si="7"/>
        <v>204</v>
      </c>
      <c r="P21">
        <f t="shared" si="8"/>
        <v>255</v>
      </c>
      <c r="Q21">
        <f t="shared" si="9"/>
        <v>255</v>
      </c>
      <c r="R21">
        <f t="shared" si="10"/>
        <v>255</v>
      </c>
      <c r="S21">
        <f t="shared" si="11"/>
        <v>255</v>
      </c>
      <c r="T21">
        <f t="shared" si="12"/>
        <v>255</v>
      </c>
      <c r="U21">
        <f t="shared" si="1"/>
        <v>192</v>
      </c>
      <c r="V21" s="2" t="str">
        <f t="shared" si="13"/>
        <v>33</v>
      </c>
      <c r="W21" s="1" t="s">
        <v>107</v>
      </c>
      <c r="X21" s="1" t="s">
        <v>108</v>
      </c>
      <c r="Y21" s="1" t="s">
        <v>109</v>
      </c>
      <c r="Z21" s="1"/>
      <c r="AA21" s="1"/>
      <c r="AB21" s="1"/>
      <c r="AC21" s="1"/>
      <c r="AD21" s="1"/>
      <c r="AE21">
        <f t="shared" si="14"/>
        <v>-193</v>
      </c>
      <c r="AF21">
        <f t="shared" si="15"/>
        <v>-197</v>
      </c>
      <c r="AG21">
        <f t="shared" si="16"/>
        <v>-205</v>
      </c>
      <c r="AH21">
        <f t="shared" si="17"/>
        <v>-1</v>
      </c>
      <c r="AI21">
        <f t="shared" si="18"/>
        <v>-1</v>
      </c>
      <c r="AJ21">
        <f t="shared" si="19"/>
        <v>-1</v>
      </c>
      <c r="AK21">
        <f t="shared" si="20"/>
        <v>-1</v>
      </c>
      <c r="AL21">
        <f t="shared" si="21"/>
        <v>-1</v>
      </c>
      <c r="AM21">
        <f t="shared" si="3"/>
        <v>-205</v>
      </c>
    </row>
    <row r="22" spans="1:39" x14ac:dyDescent="0.25">
      <c r="A22" t="s">
        <v>20</v>
      </c>
      <c r="B22">
        <v>2.2000000000000002</v>
      </c>
      <c r="D22" s="2" t="str">
        <f t="shared" si="4"/>
        <v>C6</v>
      </c>
      <c r="E22" s="1" t="s">
        <v>110</v>
      </c>
      <c r="F22" s="1" t="s">
        <v>111</v>
      </c>
      <c r="G22" s="1" t="s">
        <v>112</v>
      </c>
      <c r="H22" s="1" t="s">
        <v>113</v>
      </c>
      <c r="I22" s="1" t="s">
        <v>80</v>
      </c>
      <c r="J22" s="1" t="s">
        <v>80</v>
      </c>
      <c r="K22" s="1" t="s">
        <v>80</v>
      </c>
      <c r="L22" s="1" t="s">
        <v>80</v>
      </c>
      <c r="M22">
        <f t="shared" si="5"/>
        <v>198</v>
      </c>
      <c r="N22">
        <f t="shared" si="6"/>
        <v>214</v>
      </c>
      <c r="O22">
        <f t="shared" si="7"/>
        <v>206</v>
      </c>
      <c r="P22">
        <f t="shared" si="8"/>
        <v>222</v>
      </c>
      <c r="Q22">
        <f t="shared" si="9"/>
        <v>255</v>
      </c>
      <c r="R22">
        <f t="shared" si="10"/>
        <v>255</v>
      </c>
      <c r="S22">
        <f t="shared" si="11"/>
        <v>255</v>
      </c>
      <c r="T22">
        <f t="shared" si="12"/>
        <v>255</v>
      </c>
      <c r="U22">
        <f t="shared" si="1"/>
        <v>198</v>
      </c>
      <c r="V22" s="2" t="str">
        <f t="shared" si="13"/>
        <v>21</v>
      </c>
      <c r="W22" s="1" t="s">
        <v>110</v>
      </c>
      <c r="X22" s="1" t="s">
        <v>111</v>
      </c>
      <c r="Y22" s="1" t="s">
        <v>112</v>
      </c>
      <c r="Z22" s="1" t="s">
        <v>113</v>
      </c>
      <c r="AA22" s="1"/>
      <c r="AB22" s="1"/>
      <c r="AC22" s="1"/>
      <c r="AD22" s="1"/>
      <c r="AE22">
        <f t="shared" si="14"/>
        <v>-199</v>
      </c>
      <c r="AF22">
        <f t="shared" si="15"/>
        <v>-215</v>
      </c>
      <c r="AG22">
        <f t="shared" si="16"/>
        <v>-207</v>
      </c>
      <c r="AH22">
        <f t="shared" si="17"/>
        <v>-223</v>
      </c>
      <c r="AI22">
        <f t="shared" si="18"/>
        <v>-1</v>
      </c>
      <c r="AJ22">
        <f t="shared" si="19"/>
        <v>-1</v>
      </c>
      <c r="AK22">
        <f t="shared" si="20"/>
        <v>-1</v>
      </c>
      <c r="AL22">
        <f t="shared" si="21"/>
        <v>-1</v>
      </c>
      <c r="AM22">
        <f t="shared" si="3"/>
        <v>-223</v>
      </c>
    </row>
    <row r="23" spans="1:39" x14ac:dyDescent="0.25">
      <c r="A23" t="s">
        <v>21</v>
      </c>
      <c r="D23" s="2" t="str">
        <f t="shared" si="4"/>
        <v>CA</v>
      </c>
      <c r="E23" s="1" t="s">
        <v>114</v>
      </c>
      <c r="F23" s="1" t="s">
        <v>80</v>
      </c>
      <c r="G23" s="1" t="s">
        <v>80</v>
      </c>
      <c r="H23" s="1" t="s">
        <v>80</v>
      </c>
      <c r="I23" s="1" t="s">
        <v>80</v>
      </c>
      <c r="J23" s="1" t="s">
        <v>80</v>
      </c>
      <c r="K23" s="1" t="s">
        <v>80</v>
      </c>
      <c r="L23" s="1" t="s">
        <v>80</v>
      </c>
      <c r="M23">
        <f t="shared" si="5"/>
        <v>202</v>
      </c>
      <c r="N23">
        <f t="shared" si="6"/>
        <v>255</v>
      </c>
      <c r="O23">
        <f t="shared" si="7"/>
        <v>255</v>
      </c>
      <c r="P23">
        <f t="shared" si="8"/>
        <v>255</v>
      </c>
      <c r="Q23">
        <f t="shared" si="9"/>
        <v>255</v>
      </c>
      <c r="R23">
        <f t="shared" si="10"/>
        <v>255</v>
      </c>
      <c r="S23">
        <f t="shared" si="11"/>
        <v>255</v>
      </c>
      <c r="T23">
        <f t="shared" si="12"/>
        <v>255</v>
      </c>
      <c r="U23">
        <f t="shared" si="1"/>
        <v>202</v>
      </c>
      <c r="V23" s="2" t="str">
        <f t="shared" si="13"/>
        <v>35</v>
      </c>
      <c r="W23" s="1" t="s">
        <v>114</v>
      </c>
      <c r="X23" s="1"/>
      <c r="Y23" s="1"/>
      <c r="Z23" s="1"/>
      <c r="AA23" s="1"/>
      <c r="AB23" s="1"/>
      <c r="AC23" s="1"/>
      <c r="AD23" s="1"/>
      <c r="AE23">
        <f t="shared" si="14"/>
        <v>-203</v>
      </c>
      <c r="AF23">
        <f t="shared" si="15"/>
        <v>-1</v>
      </c>
      <c r="AG23">
        <f t="shared" si="16"/>
        <v>-1</v>
      </c>
      <c r="AH23">
        <f t="shared" si="17"/>
        <v>-1</v>
      </c>
      <c r="AI23">
        <f t="shared" si="18"/>
        <v>-1</v>
      </c>
      <c r="AJ23">
        <f t="shared" si="19"/>
        <v>-1</v>
      </c>
      <c r="AK23">
        <f t="shared" si="20"/>
        <v>-1</v>
      </c>
      <c r="AL23">
        <f t="shared" si="21"/>
        <v>-1</v>
      </c>
      <c r="AM23">
        <f t="shared" si="3"/>
        <v>-203</v>
      </c>
    </row>
    <row r="24" spans="1:39" x14ac:dyDescent="0.25">
      <c r="A24" t="s">
        <v>22</v>
      </c>
      <c r="D24" s="2" t="str">
        <f t="shared" si="4"/>
        <v>88</v>
      </c>
      <c r="E24" s="1" t="s">
        <v>115</v>
      </c>
      <c r="F24" s="1" t="s">
        <v>80</v>
      </c>
      <c r="G24" s="1" t="s">
        <v>80</v>
      </c>
      <c r="H24" s="1" t="s">
        <v>80</v>
      </c>
      <c r="I24" s="1" t="s">
        <v>80</v>
      </c>
      <c r="J24" s="1" t="s">
        <v>80</v>
      </c>
      <c r="K24" s="1" t="s">
        <v>80</v>
      </c>
      <c r="L24" s="1" t="s">
        <v>80</v>
      </c>
      <c r="M24">
        <f t="shared" si="5"/>
        <v>136</v>
      </c>
      <c r="N24">
        <f t="shared" si="6"/>
        <v>255</v>
      </c>
      <c r="O24">
        <f t="shared" si="7"/>
        <v>255</v>
      </c>
      <c r="P24">
        <f t="shared" si="8"/>
        <v>255</v>
      </c>
      <c r="Q24">
        <f t="shared" si="9"/>
        <v>255</v>
      </c>
      <c r="R24">
        <f t="shared" si="10"/>
        <v>255</v>
      </c>
      <c r="S24">
        <f t="shared" si="11"/>
        <v>255</v>
      </c>
      <c r="T24">
        <f t="shared" si="12"/>
        <v>255</v>
      </c>
      <c r="U24">
        <f t="shared" si="1"/>
        <v>136</v>
      </c>
      <c r="V24" s="2" t="str">
        <f t="shared" si="13"/>
        <v>77</v>
      </c>
      <c r="W24" s="1" t="s">
        <v>115</v>
      </c>
      <c r="X24" s="1"/>
      <c r="Y24" s="1"/>
      <c r="Z24" s="1"/>
      <c r="AA24" s="1"/>
      <c r="AB24" s="1"/>
      <c r="AC24" s="1"/>
      <c r="AD24" s="1"/>
      <c r="AE24">
        <f t="shared" si="14"/>
        <v>-137</v>
      </c>
      <c r="AF24">
        <f t="shared" si="15"/>
        <v>-1</v>
      </c>
      <c r="AG24">
        <f t="shared" si="16"/>
        <v>-1</v>
      </c>
      <c r="AH24">
        <f t="shared" si="17"/>
        <v>-1</v>
      </c>
      <c r="AI24">
        <f t="shared" si="18"/>
        <v>-1</v>
      </c>
      <c r="AJ24">
        <f t="shared" si="19"/>
        <v>-1</v>
      </c>
      <c r="AK24">
        <f t="shared" si="20"/>
        <v>-1</v>
      </c>
      <c r="AL24">
        <f t="shared" si="21"/>
        <v>-1</v>
      </c>
      <c r="AM24">
        <f t="shared" si="3"/>
        <v>-137</v>
      </c>
    </row>
    <row r="25" spans="1:39" x14ac:dyDescent="0.25">
      <c r="A25" t="s">
        <v>23</v>
      </c>
      <c r="B25">
        <v>1</v>
      </c>
      <c r="D25" s="2" t="str">
        <f t="shared" si="4"/>
        <v>41</v>
      </c>
      <c r="E25" s="1" t="s">
        <v>116</v>
      </c>
      <c r="F25" s="1" t="s">
        <v>117</v>
      </c>
      <c r="G25" s="1" t="s">
        <v>118</v>
      </c>
      <c r="H25" s="1" t="s">
        <v>119</v>
      </c>
      <c r="I25" s="1" t="s">
        <v>120</v>
      </c>
      <c r="J25" s="1" t="s">
        <v>121</v>
      </c>
      <c r="K25" s="1" t="s">
        <v>122</v>
      </c>
      <c r="L25" s="1" t="s">
        <v>123</v>
      </c>
      <c r="M25">
        <f t="shared" si="5"/>
        <v>73</v>
      </c>
      <c r="N25">
        <f t="shared" si="6"/>
        <v>69</v>
      </c>
      <c r="O25">
        <f t="shared" si="7"/>
        <v>85</v>
      </c>
      <c r="P25">
        <f t="shared" si="8"/>
        <v>77</v>
      </c>
      <c r="Q25">
        <f t="shared" si="9"/>
        <v>93</v>
      </c>
      <c r="R25">
        <f t="shared" si="10"/>
        <v>89</v>
      </c>
      <c r="S25">
        <f t="shared" si="11"/>
        <v>65</v>
      </c>
      <c r="T25">
        <f t="shared" si="12"/>
        <v>81</v>
      </c>
      <c r="U25">
        <f t="shared" si="1"/>
        <v>65</v>
      </c>
      <c r="V25" s="2" t="str">
        <f t="shared" si="13"/>
        <v>A2</v>
      </c>
      <c r="W25" s="1" t="s">
        <v>116</v>
      </c>
      <c r="X25" s="1" t="s">
        <v>117</v>
      </c>
      <c r="Y25" s="1" t="s">
        <v>118</v>
      </c>
      <c r="Z25" s="1" t="s">
        <v>119</v>
      </c>
      <c r="AA25" s="1" t="s">
        <v>120</v>
      </c>
      <c r="AB25" s="1" t="s">
        <v>121</v>
      </c>
      <c r="AC25" s="1" t="s">
        <v>122</v>
      </c>
      <c r="AD25" s="1" t="s">
        <v>123</v>
      </c>
      <c r="AE25">
        <f t="shared" si="14"/>
        <v>-74</v>
      </c>
      <c r="AF25">
        <f t="shared" si="15"/>
        <v>-70</v>
      </c>
      <c r="AG25">
        <f t="shared" si="16"/>
        <v>-86</v>
      </c>
      <c r="AH25">
        <f t="shared" si="17"/>
        <v>-78</v>
      </c>
      <c r="AI25">
        <f t="shared" si="18"/>
        <v>-94</v>
      </c>
      <c r="AJ25">
        <f t="shared" si="19"/>
        <v>-90</v>
      </c>
      <c r="AK25">
        <f t="shared" si="20"/>
        <v>-66</v>
      </c>
      <c r="AL25">
        <f t="shared" si="21"/>
        <v>-82</v>
      </c>
      <c r="AM25">
        <f t="shared" si="3"/>
        <v>-94</v>
      </c>
    </row>
    <row r="26" spans="1:39" x14ac:dyDescent="0.25">
      <c r="A26" t="s">
        <v>24</v>
      </c>
      <c r="B26">
        <v>2.2000000000000002</v>
      </c>
      <c r="D26" s="2" t="str">
        <f t="shared" si="4"/>
        <v>E6</v>
      </c>
      <c r="E26" s="1" t="s">
        <v>124</v>
      </c>
      <c r="F26" s="1" t="s">
        <v>125</v>
      </c>
      <c r="G26" s="1" t="s">
        <v>126</v>
      </c>
      <c r="H26" s="1" t="s">
        <v>127</v>
      </c>
      <c r="I26" s="1" t="s">
        <v>80</v>
      </c>
      <c r="J26" s="1" t="s">
        <v>80</v>
      </c>
      <c r="K26" s="1" t="s">
        <v>80</v>
      </c>
      <c r="L26" s="1" t="s">
        <v>80</v>
      </c>
      <c r="M26">
        <f t="shared" si="5"/>
        <v>230</v>
      </c>
      <c r="N26">
        <f t="shared" si="6"/>
        <v>246</v>
      </c>
      <c r="O26">
        <f t="shared" si="7"/>
        <v>238</v>
      </c>
      <c r="P26">
        <f t="shared" si="8"/>
        <v>254</v>
      </c>
      <c r="Q26">
        <f t="shared" si="9"/>
        <v>255</v>
      </c>
      <c r="R26">
        <f t="shared" si="10"/>
        <v>255</v>
      </c>
      <c r="S26">
        <f t="shared" si="11"/>
        <v>255</v>
      </c>
      <c r="T26">
        <f t="shared" si="12"/>
        <v>255</v>
      </c>
      <c r="U26">
        <f t="shared" si="1"/>
        <v>230</v>
      </c>
      <c r="V26" s="2" t="str">
        <f t="shared" si="13"/>
        <v>1</v>
      </c>
      <c r="W26" s="1" t="s">
        <v>124</v>
      </c>
      <c r="X26" s="1" t="s">
        <v>125</v>
      </c>
      <c r="Y26" s="1" t="s">
        <v>126</v>
      </c>
      <c r="Z26" s="1" t="s">
        <v>127</v>
      </c>
      <c r="AA26" s="1"/>
      <c r="AB26" s="1"/>
      <c r="AC26" s="1"/>
      <c r="AD26" s="1"/>
      <c r="AE26">
        <f t="shared" si="14"/>
        <v>-231</v>
      </c>
      <c r="AF26">
        <f t="shared" si="15"/>
        <v>-247</v>
      </c>
      <c r="AG26">
        <f t="shared" si="16"/>
        <v>-239</v>
      </c>
      <c r="AH26">
        <f t="shared" si="17"/>
        <v>-255</v>
      </c>
      <c r="AI26">
        <f t="shared" si="18"/>
        <v>-1</v>
      </c>
      <c r="AJ26">
        <f t="shared" si="19"/>
        <v>-1</v>
      </c>
      <c r="AK26">
        <f t="shared" si="20"/>
        <v>-1</v>
      </c>
      <c r="AL26">
        <f t="shared" si="21"/>
        <v>-1</v>
      </c>
      <c r="AM26">
        <f t="shared" si="3"/>
        <v>-255</v>
      </c>
    </row>
    <row r="27" spans="1:39" x14ac:dyDescent="0.25">
      <c r="A27" t="s">
        <v>25</v>
      </c>
      <c r="D27" s="2" t="str">
        <f t="shared" si="4"/>
        <v>E8</v>
      </c>
      <c r="E27" s="1" t="s">
        <v>128</v>
      </c>
      <c r="F27" s="1" t="s">
        <v>80</v>
      </c>
      <c r="G27" s="1" t="s">
        <v>80</v>
      </c>
      <c r="H27" s="1" t="s">
        <v>80</v>
      </c>
      <c r="I27" s="1" t="s">
        <v>80</v>
      </c>
      <c r="J27" s="1" t="s">
        <v>80</v>
      </c>
      <c r="K27" s="1" t="s">
        <v>80</v>
      </c>
      <c r="L27" s="1" t="s">
        <v>80</v>
      </c>
      <c r="M27">
        <f t="shared" si="5"/>
        <v>232</v>
      </c>
      <c r="N27">
        <f t="shared" si="6"/>
        <v>255</v>
      </c>
      <c r="O27">
        <f t="shared" si="7"/>
        <v>255</v>
      </c>
      <c r="P27">
        <f t="shared" si="8"/>
        <v>255</v>
      </c>
      <c r="Q27">
        <f t="shared" si="9"/>
        <v>255</v>
      </c>
      <c r="R27">
        <f t="shared" si="10"/>
        <v>255</v>
      </c>
      <c r="S27">
        <f t="shared" si="11"/>
        <v>255</v>
      </c>
      <c r="T27">
        <f t="shared" si="12"/>
        <v>255</v>
      </c>
      <c r="U27">
        <f t="shared" si="1"/>
        <v>232</v>
      </c>
      <c r="V27" s="2" t="str">
        <f t="shared" si="13"/>
        <v>17</v>
      </c>
      <c r="W27" s="1" t="s">
        <v>128</v>
      </c>
      <c r="X27" s="1"/>
      <c r="Y27" s="1"/>
      <c r="Z27" s="1"/>
      <c r="AA27" s="1"/>
      <c r="AB27" s="1"/>
      <c r="AC27" s="1"/>
      <c r="AD27" s="1"/>
      <c r="AE27">
        <f t="shared" si="14"/>
        <v>-233</v>
      </c>
      <c r="AF27">
        <f t="shared" si="15"/>
        <v>-1</v>
      </c>
      <c r="AG27">
        <f t="shared" si="16"/>
        <v>-1</v>
      </c>
      <c r="AH27">
        <f t="shared" si="17"/>
        <v>-1</v>
      </c>
      <c r="AI27">
        <f t="shared" si="18"/>
        <v>-1</v>
      </c>
      <c r="AJ27">
        <f t="shared" si="19"/>
        <v>-1</v>
      </c>
      <c r="AK27">
        <f t="shared" si="20"/>
        <v>-1</v>
      </c>
      <c r="AL27">
        <f t="shared" si="21"/>
        <v>-1</v>
      </c>
      <c r="AM27">
        <f t="shared" si="3"/>
        <v>-233</v>
      </c>
    </row>
    <row r="28" spans="1:39" x14ac:dyDescent="0.25">
      <c r="A28" t="s">
        <v>26</v>
      </c>
      <c r="D28" s="2" t="str">
        <f t="shared" si="4"/>
        <v>C8</v>
      </c>
      <c r="E28" s="1" t="s">
        <v>129</v>
      </c>
      <c r="F28" s="1" t="s">
        <v>80</v>
      </c>
      <c r="G28" s="1" t="s">
        <v>80</v>
      </c>
      <c r="H28" s="1" t="s">
        <v>80</v>
      </c>
      <c r="I28" s="1" t="s">
        <v>80</v>
      </c>
      <c r="J28" s="1" t="s">
        <v>80</v>
      </c>
      <c r="K28" s="1" t="s">
        <v>80</v>
      </c>
      <c r="L28" s="1" t="s">
        <v>80</v>
      </c>
      <c r="M28">
        <f t="shared" si="5"/>
        <v>200</v>
      </c>
      <c r="N28">
        <f t="shared" si="6"/>
        <v>255</v>
      </c>
      <c r="O28">
        <f t="shared" si="7"/>
        <v>255</v>
      </c>
      <c r="P28">
        <f t="shared" si="8"/>
        <v>255</v>
      </c>
      <c r="Q28">
        <f t="shared" si="9"/>
        <v>255</v>
      </c>
      <c r="R28">
        <f t="shared" si="10"/>
        <v>255</v>
      </c>
      <c r="S28">
        <f t="shared" si="11"/>
        <v>255</v>
      </c>
      <c r="T28">
        <f t="shared" si="12"/>
        <v>255</v>
      </c>
      <c r="U28">
        <f t="shared" si="1"/>
        <v>200</v>
      </c>
      <c r="V28" s="2" t="str">
        <f t="shared" si="13"/>
        <v>37</v>
      </c>
      <c r="W28" s="1" t="s">
        <v>129</v>
      </c>
      <c r="X28" s="1"/>
      <c r="Y28" s="1"/>
      <c r="Z28" s="1"/>
      <c r="AA28" s="1"/>
      <c r="AB28" s="1"/>
      <c r="AC28" s="1"/>
      <c r="AD28" s="1"/>
      <c r="AE28">
        <f t="shared" si="14"/>
        <v>-201</v>
      </c>
      <c r="AF28">
        <f t="shared" si="15"/>
        <v>-1</v>
      </c>
      <c r="AG28">
        <f t="shared" si="16"/>
        <v>-1</v>
      </c>
      <c r="AH28">
        <f t="shared" si="17"/>
        <v>-1</v>
      </c>
      <c r="AI28">
        <f t="shared" si="18"/>
        <v>-1</v>
      </c>
      <c r="AJ28">
        <f t="shared" si="19"/>
        <v>-1</v>
      </c>
      <c r="AK28">
        <f t="shared" si="20"/>
        <v>-1</v>
      </c>
      <c r="AL28">
        <f t="shared" si="21"/>
        <v>-1</v>
      </c>
      <c r="AM28">
        <f t="shared" si="3"/>
        <v>-201</v>
      </c>
    </row>
    <row r="29" spans="1:39" x14ac:dyDescent="0.25">
      <c r="A29" t="s">
        <v>27</v>
      </c>
      <c r="B29">
        <v>3</v>
      </c>
      <c r="D29" s="2" t="str">
        <f t="shared" si="4"/>
        <v>4C</v>
      </c>
      <c r="E29" s="1" t="s">
        <v>130</v>
      </c>
      <c r="F29" s="1" t="s">
        <v>131</v>
      </c>
      <c r="G29" s="1" t="s">
        <v>80</v>
      </c>
      <c r="H29" s="1" t="s">
        <v>80</v>
      </c>
      <c r="I29" s="1" t="s">
        <v>80</v>
      </c>
      <c r="J29" s="1" t="s">
        <v>80</v>
      </c>
      <c r="K29" s="1" t="s">
        <v>80</v>
      </c>
      <c r="L29" s="1" t="s">
        <v>80</v>
      </c>
      <c r="M29">
        <f t="shared" si="5"/>
        <v>76</v>
      </c>
      <c r="N29">
        <f t="shared" si="6"/>
        <v>108</v>
      </c>
      <c r="O29">
        <f t="shared" si="7"/>
        <v>255</v>
      </c>
      <c r="P29">
        <f t="shared" si="8"/>
        <v>255</v>
      </c>
      <c r="Q29">
        <f t="shared" si="9"/>
        <v>255</v>
      </c>
      <c r="R29">
        <f t="shared" si="10"/>
        <v>255</v>
      </c>
      <c r="S29">
        <f t="shared" si="11"/>
        <v>255</v>
      </c>
      <c r="T29">
        <f t="shared" si="12"/>
        <v>255</v>
      </c>
      <c r="U29">
        <f t="shared" si="1"/>
        <v>76</v>
      </c>
      <c r="V29" s="2" t="str">
        <f t="shared" si="13"/>
        <v>93</v>
      </c>
      <c r="W29" s="1" t="s">
        <v>130</v>
      </c>
      <c r="X29" s="1" t="s">
        <v>131</v>
      </c>
      <c r="Y29" s="1"/>
      <c r="Z29" s="1"/>
      <c r="AA29" s="1"/>
      <c r="AB29" s="1"/>
      <c r="AC29" s="1"/>
      <c r="AD29" s="1"/>
      <c r="AE29">
        <f t="shared" si="14"/>
        <v>-77</v>
      </c>
      <c r="AF29">
        <f t="shared" si="15"/>
        <v>-109</v>
      </c>
      <c r="AG29">
        <f t="shared" si="16"/>
        <v>-1</v>
      </c>
      <c r="AH29">
        <f t="shared" si="17"/>
        <v>-1</v>
      </c>
      <c r="AI29">
        <f t="shared" si="18"/>
        <v>-1</v>
      </c>
      <c r="AJ29">
        <f t="shared" si="19"/>
        <v>-1</v>
      </c>
      <c r="AK29">
        <f t="shared" si="20"/>
        <v>-1</v>
      </c>
      <c r="AL29">
        <f t="shared" si="21"/>
        <v>-1</v>
      </c>
      <c r="AM29">
        <f t="shared" si="3"/>
        <v>-109</v>
      </c>
    </row>
    <row r="30" spans="1:39" x14ac:dyDescent="0.25">
      <c r="A30" t="s">
        <v>57</v>
      </c>
      <c r="B30">
        <v>3</v>
      </c>
      <c r="D30" s="2" t="str">
        <f t="shared" si="4"/>
        <v>20</v>
      </c>
      <c r="E30" s="1" t="s">
        <v>132</v>
      </c>
      <c r="F30" s="1" t="s">
        <v>80</v>
      </c>
      <c r="G30" s="1" t="s">
        <v>80</v>
      </c>
      <c r="H30" s="1" t="s">
        <v>80</v>
      </c>
      <c r="I30" s="1" t="s">
        <v>80</v>
      </c>
      <c r="J30" s="1" t="s">
        <v>80</v>
      </c>
      <c r="K30" s="1" t="s">
        <v>80</v>
      </c>
      <c r="L30" s="1" t="s">
        <v>80</v>
      </c>
      <c r="M30">
        <f t="shared" si="5"/>
        <v>32</v>
      </c>
      <c r="N30">
        <f t="shared" si="6"/>
        <v>255</v>
      </c>
      <c r="O30">
        <f t="shared" si="7"/>
        <v>255</v>
      </c>
      <c r="P30">
        <f t="shared" si="8"/>
        <v>255</v>
      </c>
      <c r="Q30">
        <f t="shared" si="9"/>
        <v>255</v>
      </c>
      <c r="R30">
        <f t="shared" si="10"/>
        <v>255</v>
      </c>
      <c r="S30">
        <f t="shared" si="11"/>
        <v>255</v>
      </c>
      <c r="T30">
        <f t="shared" si="12"/>
        <v>255</v>
      </c>
      <c r="U30">
        <f t="shared" si="1"/>
        <v>32</v>
      </c>
      <c r="V30" s="2" t="str">
        <f t="shared" si="13"/>
        <v>DF</v>
      </c>
      <c r="W30" s="1" t="s">
        <v>132</v>
      </c>
      <c r="X30" s="1"/>
      <c r="Y30" s="1"/>
      <c r="Z30" s="1"/>
      <c r="AA30" s="1"/>
      <c r="AB30" s="1"/>
      <c r="AC30" s="1"/>
      <c r="AD30" s="1"/>
      <c r="AE30">
        <f t="shared" si="14"/>
        <v>-33</v>
      </c>
      <c r="AF30">
        <f t="shared" si="15"/>
        <v>-1</v>
      </c>
      <c r="AG30">
        <f t="shared" si="16"/>
        <v>-1</v>
      </c>
      <c r="AH30">
        <f t="shared" si="17"/>
        <v>-1</v>
      </c>
      <c r="AI30">
        <f t="shared" si="18"/>
        <v>-1</v>
      </c>
      <c r="AJ30">
        <f t="shared" si="19"/>
        <v>-1</v>
      </c>
      <c r="AK30">
        <f t="shared" si="20"/>
        <v>-1</v>
      </c>
      <c r="AL30">
        <f t="shared" si="21"/>
        <v>-1</v>
      </c>
      <c r="AM30">
        <f t="shared" si="3"/>
        <v>-33</v>
      </c>
    </row>
    <row r="31" spans="1:39" x14ac:dyDescent="0.25">
      <c r="A31" t="s">
        <v>28</v>
      </c>
      <c r="B31">
        <v>1</v>
      </c>
      <c r="D31" s="2" t="str">
        <f t="shared" si="4"/>
        <v>A1</v>
      </c>
      <c r="E31" s="1" t="s">
        <v>133</v>
      </c>
      <c r="F31" s="1" t="s">
        <v>134</v>
      </c>
      <c r="G31" s="1" t="s">
        <v>135</v>
      </c>
      <c r="H31" s="1" t="s">
        <v>136</v>
      </c>
      <c r="I31" s="1" t="s">
        <v>137</v>
      </c>
      <c r="J31" s="1" t="s">
        <v>138</v>
      </c>
      <c r="K31" s="1" t="s">
        <v>139</v>
      </c>
      <c r="L31" s="1" t="s">
        <v>140</v>
      </c>
      <c r="M31">
        <f t="shared" si="5"/>
        <v>169</v>
      </c>
      <c r="N31">
        <f t="shared" si="6"/>
        <v>165</v>
      </c>
      <c r="O31">
        <f t="shared" si="7"/>
        <v>181</v>
      </c>
      <c r="P31">
        <f t="shared" si="8"/>
        <v>173</v>
      </c>
      <c r="Q31">
        <f t="shared" si="9"/>
        <v>189</v>
      </c>
      <c r="R31">
        <f t="shared" si="10"/>
        <v>185</v>
      </c>
      <c r="S31">
        <f t="shared" si="11"/>
        <v>161</v>
      </c>
      <c r="T31">
        <f t="shared" si="12"/>
        <v>177</v>
      </c>
      <c r="U31">
        <f t="shared" si="1"/>
        <v>161</v>
      </c>
      <c r="V31" s="2" t="str">
        <f t="shared" si="13"/>
        <v>42</v>
      </c>
      <c r="W31" s="1" t="s">
        <v>133</v>
      </c>
      <c r="X31" s="1" t="s">
        <v>134</v>
      </c>
      <c r="Y31" s="1" t="s">
        <v>135</v>
      </c>
      <c r="Z31" s="1" t="s">
        <v>136</v>
      </c>
      <c r="AA31" s="1" t="s">
        <v>137</v>
      </c>
      <c r="AB31" s="1" t="s">
        <v>138</v>
      </c>
      <c r="AC31" s="1" t="s">
        <v>139</v>
      </c>
      <c r="AD31" s="1" t="s">
        <v>140</v>
      </c>
      <c r="AE31">
        <f t="shared" si="14"/>
        <v>-170</v>
      </c>
      <c r="AF31">
        <f t="shared" si="15"/>
        <v>-166</v>
      </c>
      <c r="AG31">
        <f t="shared" si="16"/>
        <v>-182</v>
      </c>
      <c r="AH31">
        <f t="shared" si="17"/>
        <v>-174</v>
      </c>
      <c r="AI31">
        <f t="shared" si="18"/>
        <v>-190</v>
      </c>
      <c r="AJ31">
        <f t="shared" si="19"/>
        <v>-186</v>
      </c>
      <c r="AK31">
        <f t="shared" si="20"/>
        <v>-162</v>
      </c>
      <c r="AL31">
        <f t="shared" si="21"/>
        <v>-178</v>
      </c>
      <c r="AM31">
        <f t="shared" si="3"/>
        <v>-190</v>
      </c>
    </row>
    <row r="32" spans="1:39" x14ac:dyDescent="0.25">
      <c r="A32" t="s">
        <v>29</v>
      </c>
      <c r="B32">
        <v>2.2000000000000002</v>
      </c>
      <c r="D32" s="2" t="str">
        <f t="shared" si="4"/>
        <v>A2</v>
      </c>
      <c r="E32" s="1" t="s">
        <v>141</v>
      </c>
      <c r="F32" s="1" t="s">
        <v>142</v>
      </c>
      <c r="G32" s="1" t="s">
        <v>143</v>
      </c>
      <c r="H32" s="1" t="s">
        <v>144</v>
      </c>
      <c r="I32" s="1" t="s">
        <v>145</v>
      </c>
      <c r="J32" s="1" t="s">
        <v>80</v>
      </c>
      <c r="K32" s="1" t="s">
        <v>80</v>
      </c>
      <c r="L32" s="1" t="s">
        <v>80</v>
      </c>
      <c r="M32">
        <f t="shared" si="5"/>
        <v>162</v>
      </c>
      <c r="N32">
        <f t="shared" si="6"/>
        <v>166</v>
      </c>
      <c r="O32">
        <f t="shared" si="7"/>
        <v>182</v>
      </c>
      <c r="P32">
        <f t="shared" si="8"/>
        <v>174</v>
      </c>
      <c r="Q32">
        <f t="shared" si="9"/>
        <v>190</v>
      </c>
      <c r="R32">
        <f t="shared" si="10"/>
        <v>255</v>
      </c>
      <c r="S32">
        <f t="shared" si="11"/>
        <v>255</v>
      </c>
      <c r="T32">
        <f t="shared" si="12"/>
        <v>255</v>
      </c>
      <c r="U32">
        <f t="shared" si="1"/>
        <v>162</v>
      </c>
      <c r="V32" s="2" t="str">
        <f t="shared" si="13"/>
        <v>41</v>
      </c>
      <c r="W32" s="1" t="s">
        <v>141</v>
      </c>
      <c r="X32" s="1" t="s">
        <v>142</v>
      </c>
      <c r="Y32" s="1" t="s">
        <v>143</v>
      </c>
      <c r="Z32" s="1" t="s">
        <v>144</v>
      </c>
      <c r="AA32" s="1" t="s">
        <v>145</v>
      </c>
      <c r="AB32" s="1"/>
      <c r="AC32" s="1"/>
      <c r="AD32" s="1"/>
      <c r="AE32">
        <f t="shared" si="14"/>
        <v>-163</v>
      </c>
      <c r="AF32">
        <f t="shared" si="15"/>
        <v>-167</v>
      </c>
      <c r="AG32">
        <f t="shared" si="16"/>
        <v>-183</v>
      </c>
      <c r="AH32">
        <f t="shared" si="17"/>
        <v>-175</v>
      </c>
      <c r="AI32">
        <f t="shared" si="18"/>
        <v>-191</v>
      </c>
      <c r="AJ32">
        <f t="shared" si="19"/>
        <v>-1</v>
      </c>
      <c r="AK32">
        <f t="shared" si="20"/>
        <v>-1</v>
      </c>
      <c r="AL32">
        <f t="shared" si="21"/>
        <v>-1</v>
      </c>
      <c r="AM32">
        <f t="shared" si="3"/>
        <v>-191</v>
      </c>
    </row>
    <row r="33" spans="1:39" x14ac:dyDescent="0.25">
      <c r="A33" t="s">
        <v>30</v>
      </c>
      <c r="B33">
        <v>3</v>
      </c>
      <c r="D33" s="2" t="str">
        <f t="shared" si="4"/>
        <v>A0</v>
      </c>
      <c r="E33" s="1" t="s">
        <v>146</v>
      </c>
      <c r="F33" s="1" t="s">
        <v>147</v>
      </c>
      <c r="G33" s="1" t="s">
        <v>148</v>
      </c>
      <c r="H33" s="1" t="s">
        <v>149</v>
      </c>
      <c r="I33" s="1" t="s">
        <v>150</v>
      </c>
      <c r="J33" s="1" t="s">
        <v>80</v>
      </c>
      <c r="K33" s="1" t="s">
        <v>80</v>
      </c>
      <c r="L33" s="1" t="s">
        <v>80</v>
      </c>
      <c r="M33">
        <f t="shared" si="5"/>
        <v>160</v>
      </c>
      <c r="N33">
        <f t="shared" si="6"/>
        <v>164</v>
      </c>
      <c r="O33">
        <f t="shared" si="7"/>
        <v>181</v>
      </c>
      <c r="P33">
        <f t="shared" si="8"/>
        <v>172</v>
      </c>
      <c r="Q33">
        <f t="shared" si="9"/>
        <v>188</v>
      </c>
      <c r="R33">
        <f t="shared" si="10"/>
        <v>255</v>
      </c>
      <c r="S33">
        <f t="shared" si="11"/>
        <v>255</v>
      </c>
      <c r="T33">
        <f t="shared" si="12"/>
        <v>255</v>
      </c>
      <c r="U33">
        <f t="shared" si="1"/>
        <v>160</v>
      </c>
      <c r="V33" s="2" t="str">
        <f t="shared" si="13"/>
        <v>42</v>
      </c>
      <c r="W33" s="1" t="s">
        <v>146</v>
      </c>
      <c r="X33" s="1" t="s">
        <v>147</v>
      </c>
      <c r="Y33" s="1" t="s">
        <v>148</v>
      </c>
      <c r="Z33" s="1" t="s">
        <v>149</v>
      </c>
      <c r="AA33" s="1" t="s">
        <v>150</v>
      </c>
      <c r="AB33" s="1"/>
      <c r="AC33" s="1"/>
      <c r="AD33" s="1"/>
      <c r="AE33">
        <f t="shared" si="14"/>
        <v>-161</v>
      </c>
      <c r="AF33">
        <f t="shared" si="15"/>
        <v>-165</v>
      </c>
      <c r="AG33">
        <f t="shared" si="16"/>
        <v>-182</v>
      </c>
      <c r="AH33">
        <f t="shared" si="17"/>
        <v>-173</v>
      </c>
      <c r="AI33">
        <f t="shared" si="18"/>
        <v>-189</v>
      </c>
      <c r="AJ33">
        <f t="shared" si="19"/>
        <v>-1</v>
      </c>
      <c r="AK33">
        <f t="shared" si="20"/>
        <v>-1</v>
      </c>
      <c r="AL33">
        <f t="shared" si="21"/>
        <v>-1</v>
      </c>
      <c r="AM33">
        <f t="shared" si="3"/>
        <v>-190</v>
      </c>
    </row>
    <row r="34" spans="1:39" x14ac:dyDescent="0.25">
      <c r="A34" t="s">
        <v>31</v>
      </c>
      <c r="B34">
        <v>2.1</v>
      </c>
      <c r="D34" s="2" t="str">
        <f t="shared" si="4"/>
        <v>42</v>
      </c>
      <c r="E34" s="1" t="s">
        <v>151</v>
      </c>
      <c r="F34" s="1" t="s">
        <v>152</v>
      </c>
      <c r="G34" s="1" t="s">
        <v>153</v>
      </c>
      <c r="H34" s="1" t="s">
        <v>154</v>
      </c>
      <c r="I34" s="1" t="s">
        <v>155</v>
      </c>
      <c r="J34" s="1" t="s">
        <v>80</v>
      </c>
      <c r="K34" s="1" t="s">
        <v>80</v>
      </c>
      <c r="L34" s="1" t="s">
        <v>80</v>
      </c>
      <c r="M34">
        <f t="shared" si="5"/>
        <v>74</v>
      </c>
      <c r="N34">
        <f t="shared" si="6"/>
        <v>70</v>
      </c>
      <c r="O34">
        <f t="shared" si="7"/>
        <v>86</v>
      </c>
      <c r="P34">
        <f t="shared" si="8"/>
        <v>78</v>
      </c>
      <c r="Q34">
        <f t="shared" si="9"/>
        <v>94</v>
      </c>
      <c r="R34">
        <f t="shared" si="10"/>
        <v>255</v>
      </c>
      <c r="S34">
        <f t="shared" si="11"/>
        <v>255</v>
      </c>
      <c r="T34">
        <f t="shared" si="12"/>
        <v>255</v>
      </c>
      <c r="U34">
        <f t="shared" ref="U34:U57" si="22">BITWISE_AND( BITWISE_AND( BITWISE_AND(M34,N34), BITWISE_AND(O34,P34)), BITWISE_AND( BITWISE_AND(Q34,R34), BITWISE_AND(S34,T34)))</f>
        <v>66</v>
      </c>
      <c r="V34" s="2" t="str">
        <f t="shared" si="13"/>
        <v>A1</v>
      </c>
      <c r="W34" s="1" t="s">
        <v>151</v>
      </c>
      <c r="X34" s="1" t="s">
        <v>152</v>
      </c>
      <c r="Y34" s="1" t="s">
        <v>153</v>
      </c>
      <c r="Z34" s="1" t="s">
        <v>154</v>
      </c>
      <c r="AA34" s="1" t="s">
        <v>155</v>
      </c>
      <c r="AB34" s="1"/>
      <c r="AC34" s="1"/>
      <c r="AD34" s="1"/>
      <c r="AE34">
        <f t="shared" si="14"/>
        <v>-75</v>
      </c>
      <c r="AF34">
        <f t="shared" si="15"/>
        <v>-71</v>
      </c>
      <c r="AG34">
        <f t="shared" si="16"/>
        <v>-87</v>
      </c>
      <c r="AH34">
        <f t="shared" si="17"/>
        <v>-79</v>
      </c>
      <c r="AI34">
        <f t="shared" si="18"/>
        <v>-95</v>
      </c>
      <c r="AJ34">
        <f t="shared" si="19"/>
        <v>-1</v>
      </c>
      <c r="AK34">
        <f t="shared" si="20"/>
        <v>-1</v>
      </c>
      <c r="AL34">
        <f t="shared" si="21"/>
        <v>-1</v>
      </c>
      <c r="AM34">
        <f t="shared" ref="AM34:AM57" si="23">BITWISE_AND( BITWISE_AND( BITWISE_AND(AE34,AF34), BITWISE_AND(AG34,AH34)), BITWISE_AND( BITWISE_AND(AI34,AJ34), BITWISE_AND(AK34,AL34)))</f>
        <v>-95</v>
      </c>
    </row>
    <row r="35" spans="1:39" x14ac:dyDescent="0.25">
      <c r="A35" t="s">
        <v>32</v>
      </c>
      <c r="D35" s="2" t="str">
        <f t="shared" si="4"/>
        <v>EA</v>
      </c>
      <c r="E35" s="1" t="s">
        <v>156</v>
      </c>
      <c r="F35" s="1" t="s">
        <v>80</v>
      </c>
      <c r="G35" s="1" t="s">
        <v>80</v>
      </c>
      <c r="H35" s="1" t="s">
        <v>80</v>
      </c>
      <c r="I35" s="1" t="s">
        <v>80</v>
      </c>
      <c r="J35" s="1" t="s">
        <v>80</v>
      </c>
      <c r="K35" s="1" t="s">
        <v>80</v>
      </c>
      <c r="L35" s="1" t="s">
        <v>80</v>
      </c>
      <c r="M35">
        <f t="shared" si="5"/>
        <v>234</v>
      </c>
      <c r="N35">
        <f t="shared" si="6"/>
        <v>255</v>
      </c>
      <c r="O35">
        <f t="shared" si="7"/>
        <v>255</v>
      </c>
      <c r="P35">
        <f t="shared" si="8"/>
        <v>255</v>
      </c>
      <c r="Q35">
        <f t="shared" si="9"/>
        <v>255</v>
      </c>
      <c r="R35">
        <f t="shared" si="10"/>
        <v>255</v>
      </c>
      <c r="S35">
        <f t="shared" si="11"/>
        <v>255</v>
      </c>
      <c r="T35">
        <f t="shared" si="12"/>
        <v>255</v>
      </c>
      <c r="U35">
        <f t="shared" si="22"/>
        <v>234</v>
      </c>
      <c r="V35" s="2" t="str">
        <f t="shared" si="13"/>
        <v>15</v>
      </c>
      <c r="W35" s="1" t="s">
        <v>156</v>
      </c>
      <c r="X35" s="1"/>
      <c r="Y35" s="1"/>
      <c r="Z35" s="1"/>
      <c r="AA35" s="1"/>
      <c r="AB35" s="1"/>
      <c r="AC35" s="1"/>
      <c r="AD35" s="1"/>
      <c r="AE35">
        <f t="shared" si="14"/>
        <v>-235</v>
      </c>
      <c r="AF35">
        <f t="shared" si="15"/>
        <v>-1</v>
      </c>
      <c r="AG35">
        <f t="shared" si="16"/>
        <v>-1</v>
      </c>
      <c r="AH35">
        <f t="shared" si="17"/>
        <v>-1</v>
      </c>
      <c r="AI35">
        <f t="shared" si="18"/>
        <v>-1</v>
      </c>
      <c r="AJ35">
        <f t="shared" si="19"/>
        <v>-1</v>
      </c>
      <c r="AK35">
        <f t="shared" si="20"/>
        <v>-1</v>
      </c>
      <c r="AL35">
        <f t="shared" si="21"/>
        <v>-1</v>
      </c>
      <c r="AM35">
        <f t="shared" si="23"/>
        <v>-235</v>
      </c>
    </row>
    <row r="36" spans="1:39" x14ac:dyDescent="0.25">
      <c r="A36" t="s">
        <v>33</v>
      </c>
      <c r="B36">
        <v>1</v>
      </c>
      <c r="D36" s="2" t="str">
        <f t="shared" si="4"/>
        <v>1</v>
      </c>
      <c r="E36" s="1" t="s">
        <v>157</v>
      </c>
      <c r="F36" s="1" t="s">
        <v>158</v>
      </c>
      <c r="G36" s="1" t="s">
        <v>159</v>
      </c>
      <c r="H36" s="1" t="s">
        <v>160</v>
      </c>
      <c r="I36" s="1" t="s">
        <v>161</v>
      </c>
      <c r="J36" s="1" t="s">
        <v>162</v>
      </c>
      <c r="K36" s="1" t="s">
        <v>163</v>
      </c>
      <c r="L36" s="1" t="s">
        <v>164</v>
      </c>
      <c r="M36">
        <f t="shared" si="5"/>
        <v>9</v>
      </c>
      <c r="N36">
        <f t="shared" si="6"/>
        <v>5</v>
      </c>
      <c r="O36">
        <f t="shared" si="7"/>
        <v>21</v>
      </c>
      <c r="P36">
        <f t="shared" si="8"/>
        <v>13</v>
      </c>
      <c r="Q36">
        <f t="shared" si="9"/>
        <v>29</v>
      </c>
      <c r="R36">
        <f t="shared" si="10"/>
        <v>25</v>
      </c>
      <c r="S36">
        <f t="shared" si="11"/>
        <v>1</v>
      </c>
      <c r="T36">
        <f t="shared" si="12"/>
        <v>17</v>
      </c>
      <c r="U36">
        <f t="shared" si="22"/>
        <v>1</v>
      </c>
      <c r="V36" s="2" t="str">
        <f t="shared" si="13"/>
        <v>E2</v>
      </c>
      <c r="W36" s="1" t="s">
        <v>157</v>
      </c>
      <c r="X36" s="1" t="s">
        <v>158</v>
      </c>
      <c r="Y36" s="1" t="s">
        <v>159</v>
      </c>
      <c r="Z36" s="1" t="s">
        <v>160</v>
      </c>
      <c r="AA36" s="1" t="s">
        <v>161</v>
      </c>
      <c r="AB36" s="1" t="s">
        <v>162</v>
      </c>
      <c r="AC36" s="1" t="s">
        <v>163</v>
      </c>
      <c r="AD36" s="1" t="s">
        <v>164</v>
      </c>
      <c r="AE36">
        <f t="shared" si="14"/>
        <v>-10</v>
      </c>
      <c r="AF36">
        <f t="shared" si="15"/>
        <v>-6</v>
      </c>
      <c r="AG36">
        <f t="shared" si="16"/>
        <v>-22</v>
      </c>
      <c r="AH36">
        <f t="shared" si="17"/>
        <v>-14</v>
      </c>
      <c r="AI36">
        <f t="shared" si="18"/>
        <v>-30</v>
      </c>
      <c r="AJ36">
        <f t="shared" si="19"/>
        <v>-26</v>
      </c>
      <c r="AK36">
        <f t="shared" si="20"/>
        <v>-2</v>
      </c>
      <c r="AL36">
        <f t="shared" si="21"/>
        <v>-18</v>
      </c>
      <c r="AM36">
        <f t="shared" si="23"/>
        <v>-30</v>
      </c>
    </row>
    <row r="37" spans="1:39" x14ac:dyDescent="0.25">
      <c r="A37" t="s">
        <v>34</v>
      </c>
      <c r="B37">
        <v>3</v>
      </c>
      <c r="D37" s="2" t="str">
        <f t="shared" si="4"/>
        <v>48</v>
      </c>
      <c r="E37" s="1" t="s">
        <v>165</v>
      </c>
      <c r="F37" s="1" t="s">
        <v>80</v>
      </c>
      <c r="G37" s="1" t="s">
        <v>80</v>
      </c>
      <c r="H37" s="1" t="s">
        <v>80</v>
      </c>
      <c r="I37" s="1" t="s">
        <v>80</v>
      </c>
      <c r="J37" s="1" t="s">
        <v>80</v>
      </c>
      <c r="K37" s="1" t="s">
        <v>80</v>
      </c>
      <c r="L37" s="1" t="s">
        <v>80</v>
      </c>
      <c r="M37">
        <f t="shared" si="5"/>
        <v>72</v>
      </c>
      <c r="N37">
        <f t="shared" si="6"/>
        <v>255</v>
      </c>
      <c r="O37">
        <f t="shared" si="7"/>
        <v>255</v>
      </c>
      <c r="P37">
        <f t="shared" si="8"/>
        <v>255</v>
      </c>
      <c r="Q37">
        <f t="shared" si="9"/>
        <v>255</v>
      </c>
      <c r="R37">
        <f t="shared" si="10"/>
        <v>255</v>
      </c>
      <c r="S37">
        <f t="shared" si="11"/>
        <v>255</v>
      </c>
      <c r="T37">
        <f t="shared" si="12"/>
        <v>255</v>
      </c>
      <c r="U37">
        <f t="shared" si="22"/>
        <v>72</v>
      </c>
      <c r="V37" s="2" t="str">
        <f t="shared" si="13"/>
        <v>B7</v>
      </c>
      <c r="W37" s="1" t="s">
        <v>165</v>
      </c>
      <c r="X37" s="1"/>
      <c r="Y37" s="1"/>
      <c r="Z37" s="1"/>
      <c r="AA37" s="1"/>
      <c r="AB37" s="1"/>
      <c r="AC37" s="1"/>
      <c r="AD37" s="1"/>
      <c r="AE37">
        <f t="shared" si="14"/>
        <v>-73</v>
      </c>
      <c r="AF37">
        <f t="shared" si="15"/>
        <v>-1</v>
      </c>
      <c r="AG37">
        <f t="shared" si="16"/>
        <v>-1</v>
      </c>
      <c r="AH37">
        <f t="shared" si="17"/>
        <v>-1</v>
      </c>
      <c r="AI37">
        <f t="shared" si="18"/>
        <v>-1</v>
      </c>
      <c r="AJ37">
        <f t="shared" si="19"/>
        <v>-1</v>
      </c>
      <c r="AK37">
        <f t="shared" si="20"/>
        <v>-1</v>
      </c>
      <c r="AL37">
        <f t="shared" si="21"/>
        <v>-1</v>
      </c>
      <c r="AM37">
        <f t="shared" si="23"/>
        <v>-73</v>
      </c>
    </row>
    <row r="38" spans="1:39" x14ac:dyDescent="0.25">
      <c r="A38" t="s">
        <v>35</v>
      </c>
      <c r="B38">
        <v>3</v>
      </c>
      <c r="D38" s="2" t="str">
        <f t="shared" si="4"/>
        <v>8</v>
      </c>
      <c r="E38" s="1" t="s">
        <v>166</v>
      </c>
      <c r="F38" s="1" t="s">
        <v>80</v>
      </c>
      <c r="G38" s="1" t="s">
        <v>80</v>
      </c>
      <c r="H38" s="1" t="s">
        <v>80</v>
      </c>
      <c r="I38" s="1" t="s">
        <v>80</v>
      </c>
      <c r="J38" s="1" t="s">
        <v>80</v>
      </c>
      <c r="K38" s="1" t="s">
        <v>80</v>
      </c>
      <c r="L38" s="1" t="s">
        <v>80</v>
      </c>
      <c r="M38">
        <f t="shared" si="5"/>
        <v>8</v>
      </c>
      <c r="N38">
        <f t="shared" si="6"/>
        <v>255</v>
      </c>
      <c r="O38">
        <f t="shared" si="7"/>
        <v>255</v>
      </c>
      <c r="P38">
        <f t="shared" si="8"/>
        <v>255</v>
      </c>
      <c r="Q38">
        <f t="shared" si="9"/>
        <v>255</v>
      </c>
      <c r="R38">
        <f t="shared" si="10"/>
        <v>255</v>
      </c>
      <c r="S38">
        <f t="shared" si="11"/>
        <v>255</v>
      </c>
      <c r="T38">
        <f t="shared" si="12"/>
        <v>255</v>
      </c>
      <c r="U38">
        <f t="shared" si="22"/>
        <v>8</v>
      </c>
      <c r="V38" s="2" t="str">
        <f t="shared" si="13"/>
        <v>F7</v>
      </c>
      <c r="W38" s="1" t="s">
        <v>166</v>
      </c>
      <c r="X38" s="1"/>
      <c r="Y38" s="1"/>
      <c r="Z38" s="1"/>
      <c r="AA38" s="1"/>
      <c r="AB38" s="1"/>
      <c r="AC38" s="1"/>
      <c r="AD38" s="1"/>
      <c r="AE38">
        <f t="shared" si="14"/>
        <v>-9</v>
      </c>
      <c r="AF38">
        <f t="shared" si="15"/>
        <v>-1</v>
      </c>
      <c r="AG38">
        <f t="shared" si="16"/>
        <v>-1</v>
      </c>
      <c r="AH38">
        <f t="shared" si="17"/>
        <v>-1</v>
      </c>
      <c r="AI38">
        <f t="shared" si="18"/>
        <v>-1</v>
      </c>
      <c r="AJ38">
        <f t="shared" si="19"/>
        <v>-1</v>
      </c>
      <c r="AK38">
        <f t="shared" si="20"/>
        <v>-1</v>
      </c>
      <c r="AL38">
        <f t="shared" si="21"/>
        <v>-1</v>
      </c>
      <c r="AM38">
        <f t="shared" si="23"/>
        <v>-9</v>
      </c>
    </row>
    <row r="39" spans="1:39" x14ac:dyDescent="0.25">
      <c r="A39" t="s">
        <v>36</v>
      </c>
      <c r="B39">
        <v>3</v>
      </c>
      <c r="D39" s="2" t="str">
        <f t="shared" si="4"/>
        <v>68</v>
      </c>
      <c r="E39" s="1" t="s">
        <v>167</v>
      </c>
      <c r="F39" s="1" t="s">
        <v>80</v>
      </c>
      <c r="G39" s="1" t="s">
        <v>80</v>
      </c>
      <c r="H39" s="1" t="s">
        <v>80</v>
      </c>
      <c r="I39" s="1" t="s">
        <v>80</v>
      </c>
      <c r="J39" s="1" t="s">
        <v>80</v>
      </c>
      <c r="K39" s="1" t="s">
        <v>80</v>
      </c>
      <c r="L39" s="1" t="s">
        <v>80</v>
      </c>
      <c r="M39">
        <f t="shared" si="5"/>
        <v>104</v>
      </c>
      <c r="N39">
        <f t="shared" si="6"/>
        <v>255</v>
      </c>
      <c r="O39">
        <f t="shared" si="7"/>
        <v>255</v>
      </c>
      <c r="P39">
        <f t="shared" si="8"/>
        <v>255</v>
      </c>
      <c r="Q39">
        <f t="shared" si="9"/>
        <v>255</v>
      </c>
      <c r="R39">
        <f t="shared" si="10"/>
        <v>255</v>
      </c>
      <c r="S39">
        <f t="shared" si="11"/>
        <v>255</v>
      </c>
      <c r="T39">
        <f t="shared" si="12"/>
        <v>255</v>
      </c>
      <c r="U39">
        <f t="shared" si="22"/>
        <v>104</v>
      </c>
      <c r="V39" s="2" t="str">
        <f t="shared" si="13"/>
        <v>97</v>
      </c>
      <c r="W39" s="1" t="s">
        <v>167</v>
      </c>
      <c r="X39" s="1"/>
      <c r="Y39" s="1"/>
      <c r="Z39" s="1"/>
      <c r="AA39" s="1"/>
      <c r="AB39" s="1"/>
      <c r="AC39" s="1"/>
      <c r="AD39" s="1"/>
      <c r="AE39">
        <f t="shared" si="14"/>
        <v>-105</v>
      </c>
      <c r="AF39">
        <f t="shared" si="15"/>
        <v>-1</v>
      </c>
      <c r="AG39">
        <f t="shared" si="16"/>
        <v>-1</v>
      </c>
      <c r="AH39">
        <f t="shared" si="17"/>
        <v>-1</v>
      </c>
      <c r="AI39">
        <f t="shared" si="18"/>
        <v>-1</v>
      </c>
      <c r="AJ39">
        <f t="shared" si="19"/>
        <v>-1</v>
      </c>
      <c r="AK39">
        <f t="shared" si="20"/>
        <v>-1</v>
      </c>
      <c r="AL39">
        <f t="shared" si="21"/>
        <v>-1</v>
      </c>
      <c r="AM39">
        <f t="shared" si="23"/>
        <v>-105</v>
      </c>
    </row>
    <row r="40" spans="1:39" x14ac:dyDescent="0.25">
      <c r="A40" t="s">
        <v>37</v>
      </c>
      <c r="B40">
        <v>3</v>
      </c>
      <c r="D40" s="2" t="str">
        <f t="shared" si="4"/>
        <v>28</v>
      </c>
      <c r="E40" s="1" t="s">
        <v>168</v>
      </c>
      <c r="F40" s="1" t="s">
        <v>80</v>
      </c>
      <c r="G40" s="1" t="s">
        <v>80</v>
      </c>
      <c r="H40" s="1" t="s">
        <v>80</v>
      </c>
      <c r="I40" s="1" t="s">
        <v>80</v>
      </c>
      <c r="J40" s="1" t="s">
        <v>80</v>
      </c>
      <c r="K40" s="1" t="s">
        <v>80</v>
      </c>
      <c r="L40" s="1" t="s">
        <v>80</v>
      </c>
      <c r="M40">
        <f t="shared" si="5"/>
        <v>40</v>
      </c>
      <c r="N40">
        <f t="shared" si="6"/>
        <v>255</v>
      </c>
      <c r="O40">
        <f t="shared" si="7"/>
        <v>255</v>
      </c>
      <c r="P40">
        <f t="shared" si="8"/>
        <v>255</v>
      </c>
      <c r="Q40">
        <f t="shared" si="9"/>
        <v>255</v>
      </c>
      <c r="R40">
        <f t="shared" si="10"/>
        <v>255</v>
      </c>
      <c r="S40">
        <f t="shared" si="11"/>
        <v>255</v>
      </c>
      <c r="T40">
        <f t="shared" si="12"/>
        <v>255</v>
      </c>
      <c r="U40">
        <f t="shared" si="22"/>
        <v>40</v>
      </c>
      <c r="V40" s="2" t="str">
        <f t="shared" si="13"/>
        <v>D7</v>
      </c>
      <c r="W40" s="1" t="s">
        <v>168</v>
      </c>
      <c r="X40" s="1"/>
      <c r="Y40" s="1"/>
      <c r="Z40" s="1"/>
      <c r="AA40" s="1"/>
      <c r="AB40" s="1"/>
      <c r="AC40" s="1"/>
      <c r="AD40" s="1"/>
      <c r="AE40">
        <f t="shared" si="14"/>
        <v>-41</v>
      </c>
      <c r="AF40">
        <f t="shared" si="15"/>
        <v>-1</v>
      </c>
      <c r="AG40">
        <f t="shared" si="16"/>
        <v>-1</v>
      </c>
      <c r="AH40">
        <f t="shared" si="17"/>
        <v>-1</v>
      </c>
      <c r="AI40">
        <f t="shared" si="18"/>
        <v>-1</v>
      </c>
      <c r="AJ40">
        <f t="shared" si="19"/>
        <v>-1</v>
      </c>
      <c r="AK40">
        <f t="shared" si="20"/>
        <v>-1</v>
      </c>
      <c r="AL40">
        <f t="shared" si="21"/>
        <v>-1</v>
      </c>
      <c r="AM40">
        <f t="shared" si="23"/>
        <v>-41</v>
      </c>
    </row>
    <row r="41" spans="1:39" x14ac:dyDescent="0.25">
      <c r="A41" t="s">
        <v>38</v>
      </c>
      <c r="B41">
        <v>2.1</v>
      </c>
      <c r="D41" s="2" t="str">
        <f t="shared" si="4"/>
        <v>22</v>
      </c>
      <c r="E41" s="1" t="s">
        <v>169</v>
      </c>
      <c r="F41" s="1" t="s">
        <v>170</v>
      </c>
      <c r="G41" s="1" t="s">
        <v>171</v>
      </c>
      <c r="H41" s="1" t="s">
        <v>172</v>
      </c>
      <c r="I41" s="1" t="s">
        <v>173</v>
      </c>
      <c r="J41" s="1" t="s">
        <v>80</v>
      </c>
      <c r="K41" s="1" t="s">
        <v>80</v>
      </c>
      <c r="L41" s="1" t="s">
        <v>80</v>
      </c>
      <c r="M41">
        <f t="shared" si="5"/>
        <v>42</v>
      </c>
      <c r="N41">
        <f t="shared" si="6"/>
        <v>38</v>
      </c>
      <c r="O41">
        <f t="shared" si="7"/>
        <v>54</v>
      </c>
      <c r="P41">
        <f t="shared" si="8"/>
        <v>46</v>
      </c>
      <c r="Q41">
        <f t="shared" si="9"/>
        <v>62</v>
      </c>
      <c r="R41">
        <f t="shared" si="10"/>
        <v>255</v>
      </c>
      <c r="S41">
        <f t="shared" si="11"/>
        <v>255</v>
      </c>
      <c r="T41">
        <f t="shared" si="12"/>
        <v>255</v>
      </c>
      <c r="U41">
        <f t="shared" si="22"/>
        <v>34</v>
      </c>
      <c r="V41" s="2" t="str">
        <f t="shared" si="13"/>
        <v>C1</v>
      </c>
      <c r="W41" s="1" t="s">
        <v>169</v>
      </c>
      <c r="X41" s="1" t="s">
        <v>170</v>
      </c>
      <c r="Y41" s="1" t="s">
        <v>171</v>
      </c>
      <c r="Z41" s="1" t="s">
        <v>172</v>
      </c>
      <c r="AA41" s="1" t="s">
        <v>173</v>
      </c>
      <c r="AB41" s="1"/>
      <c r="AC41" s="1"/>
      <c r="AD41" s="1"/>
      <c r="AE41">
        <f t="shared" si="14"/>
        <v>-43</v>
      </c>
      <c r="AF41">
        <f t="shared" si="15"/>
        <v>-39</v>
      </c>
      <c r="AG41">
        <f t="shared" si="16"/>
        <v>-55</v>
      </c>
      <c r="AH41">
        <f t="shared" si="17"/>
        <v>-47</v>
      </c>
      <c r="AI41">
        <f t="shared" si="18"/>
        <v>-63</v>
      </c>
      <c r="AJ41">
        <f t="shared" si="19"/>
        <v>-1</v>
      </c>
      <c r="AK41">
        <f t="shared" si="20"/>
        <v>-1</v>
      </c>
      <c r="AL41">
        <f t="shared" si="21"/>
        <v>-1</v>
      </c>
      <c r="AM41">
        <f t="shared" si="23"/>
        <v>-63</v>
      </c>
    </row>
    <row r="42" spans="1:39" x14ac:dyDescent="0.25">
      <c r="A42" t="s">
        <v>39</v>
      </c>
      <c r="B42">
        <v>2.1</v>
      </c>
      <c r="D42" s="2" t="str">
        <f t="shared" si="4"/>
        <v>22</v>
      </c>
      <c r="E42" s="1" t="s">
        <v>169</v>
      </c>
      <c r="F42" s="1" t="s">
        <v>170</v>
      </c>
      <c r="G42" s="1" t="s">
        <v>171</v>
      </c>
      <c r="H42" s="1" t="s">
        <v>172</v>
      </c>
      <c r="I42" s="1" t="s">
        <v>173</v>
      </c>
      <c r="J42" s="1" t="s">
        <v>80</v>
      </c>
      <c r="K42" s="1" t="s">
        <v>80</v>
      </c>
      <c r="L42" s="1" t="s">
        <v>80</v>
      </c>
      <c r="M42">
        <f t="shared" si="5"/>
        <v>42</v>
      </c>
      <c r="N42">
        <f t="shared" si="6"/>
        <v>38</v>
      </c>
      <c r="O42">
        <f t="shared" si="7"/>
        <v>54</v>
      </c>
      <c r="P42">
        <f t="shared" si="8"/>
        <v>46</v>
      </c>
      <c r="Q42">
        <f t="shared" si="9"/>
        <v>62</v>
      </c>
      <c r="R42">
        <f t="shared" si="10"/>
        <v>255</v>
      </c>
      <c r="S42">
        <f t="shared" si="11"/>
        <v>255</v>
      </c>
      <c r="T42">
        <f t="shared" si="12"/>
        <v>255</v>
      </c>
      <c r="U42">
        <f t="shared" si="22"/>
        <v>34</v>
      </c>
      <c r="V42" s="2" t="str">
        <f t="shared" si="13"/>
        <v>C1</v>
      </c>
      <c r="W42" s="1" t="s">
        <v>169</v>
      </c>
      <c r="X42" s="1" t="s">
        <v>170</v>
      </c>
      <c r="Y42" s="1" t="s">
        <v>171</v>
      </c>
      <c r="Z42" s="1" t="s">
        <v>172</v>
      </c>
      <c r="AA42" s="1" t="s">
        <v>173</v>
      </c>
      <c r="AB42" s="1"/>
      <c r="AC42" s="1"/>
      <c r="AD42" s="1"/>
      <c r="AE42">
        <f t="shared" si="14"/>
        <v>-43</v>
      </c>
      <c r="AF42">
        <f t="shared" si="15"/>
        <v>-39</v>
      </c>
      <c r="AG42">
        <f t="shared" si="16"/>
        <v>-55</v>
      </c>
      <c r="AH42">
        <f t="shared" si="17"/>
        <v>-47</v>
      </c>
      <c r="AI42">
        <f t="shared" si="18"/>
        <v>-63</v>
      </c>
      <c r="AJ42">
        <f t="shared" si="19"/>
        <v>-1</v>
      </c>
      <c r="AK42">
        <f t="shared" si="20"/>
        <v>-1</v>
      </c>
      <c r="AL42">
        <f t="shared" si="21"/>
        <v>-1</v>
      </c>
      <c r="AM42">
        <f t="shared" si="23"/>
        <v>-63</v>
      </c>
    </row>
    <row r="43" spans="1:39" x14ac:dyDescent="0.25">
      <c r="A43" t="s">
        <v>40</v>
      </c>
      <c r="D43" s="2" t="str">
        <f t="shared" si="4"/>
        <v>40</v>
      </c>
      <c r="E43" s="1" t="s">
        <v>174</v>
      </c>
      <c r="F43" s="1" t="s">
        <v>80</v>
      </c>
      <c r="G43" s="1" t="s">
        <v>80</v>
      </c>
      <c r="H43" s="1" t="s">
        <v>80</v>
      </c>
      <c r="I43" s="1" t="s">
        <v>80</v>
      </c>
      <c r="J43" s="1" t="s">
        <v>80</v>
      </c>
      <c r="K43" s="1" t="s">
        <v>80</v>
      </c>
      <c r="L43" s="1" t="s">
        <v>80</v>
      </c>
      <c r="M43">
        <f t="shared" si="5"/>
        <v>64</v>
      </c>
      <c r="N43">
        <f t="shared" si="6"/>
        <v>255</v>
      </c>
      <c r="O43">
        <f t="shared" si="7"/>
        <v>255</v>
      </c>
      <c r="P43">
        <f t="shared" si="8"/>
        <v>255</v>
      </c>
      <c r="Q43">
        <f t="shared" si="9"/>
        <v>255</v>
      </c>
      <c r="R43">
        <f t="shared" si="10"/>
        <v>255</v>
      </c>
      <c r="S43">
        <f t="shared" si="11"/>
        <v>255</v>
      </c>
      <c r="T43">
        <f t="shared" si="12"/>
        <v>255</v>
      </c>
      <c r="U43">
        <f t="shared" si="22"/>
        <v>64</v>
      </c>
      <c r="V43" s="2" t="str">
        <f t="shared" si="13"/>
        <v>BF</v>
      </c>
      <c r="W43" s="1" t="s">
        <v>174</v>
      </c>
      <c r="X43" s="1"/>
      <c r="Y43" s="1"/>
      <c r="Z43" s="1"/>
      <c r="AA43" s="1"/>
      <c r="AB43" s="1"/>
      <c r="AC43" s="1"/>
      <c r="AD43" s="1"/>
      <c r="AE43">
        <f t="shared" si="14"/>
        <v>-65</v>
      </c>
      <c r="AF43">
        <f t="shared" si="15"/>
        <v>-1</v>
      </c>
      <c r="AG43">
        <f t="shared" si="16"/>
        <v>-1</v>
      </c>
      <c r="AH43">
        <f t="shared" si="17"/>
        <v>-1</v>
      </c>
      <c r="AI43">
        <f t="shared" si="18"/>
        <v>-1</v>
      </c>
      <c r="AJ43">
        <f t="shared" si="19"/>
        <v>-1</v>
      </c>
      <c r="AK43">
        <f t="shared" si="20"/>
        <v>-1</v>
      </c>
      <c r="AL43">
        <f t="shared" si="21"/>
        <v>-1</v>
      </c>
      <c r="AM43">
        <f t="shared" si="23"/>
        <v>-65</v>
      </c>
    </row>
    <row r="44" spans="1:39" x14ac:dyDescent="0.25">
      <c r="A44" t="s">
        <v>41</v>
      </c>
      <c r="D44" s="2" t="str">
        <f t="shared" si="4"/>
        <v>60</v>
      </c>
      <c r="E44" s="1" t="s">
        <v>175</v>
      </c>
      <c r="F44" s="1" t="s">
        <v>80</v>
      </c>
      <c r="G44" s="1" t="s">
        <v>80</v>
      </c>
      <c r="H44" s="1" t="s">
        <v>80</v>
      </c>
      <c r="I44" s="1" t="s">
        <v>80</v>
      </c>
      <c r="J44" s="1" t="s">
        <v>80</v>
      </c>
      <c r="K44" s="1" t="s">
        <v>80</v>
      </c>
      <c r="L44" s="1" t="s">
        <v>80</v>
      </c>
      <c r="M44">
        <f t="shared" si="5"/>
        <v>96</v>
      </c>
      <c r="N44">
        <f t="shared" si="6"/>
        <v>255</v>
      </c>
      <c r="O44">
        <f t="shared" si="7"/>
        <v>255</v>
      </c>
      <c r="P44">
        <f t="shared" si="8"/>
        <v>255</v>
      </c>
      <c r="Q44">
        <f t="shared" si="9"/>
        <v>255</v>
      </c>
      <c r="R44">
        <f t="shared" si="10"/>
        <v>255</v>
      </c>
      <c r="S44">
        <f t="shared" si="11"/>
        <v>255</v>
      </c>
      <c r="T44">
        <f t="shared" si="12"/>
        <v>255</v>
      </c>
      <c r="U44">
        <f t="shared" si="22"/>
        <v>96</v>
      </c>
      <c r="V44" s="2" t="str">
        <f t="shared" si="13"/>
        <v>9F</v>
      </c>
      <c r="W44" s="1" t="s">
        <v>175</v>
      </c>
      <c r="X44" s="1"/>
      <c r="Y44" s="1"/>
      <c r="Z44" s="1"/>
      <c r="AA44" s="1"/>
      <c r="AB44" s="1"/>
      <c r="AC44" s="1"/>
      <c r="AD44" s="1"/>
      <c r="AE44">
        <f t="shared" si="14"/>
        <v>-97</v>
      </c>
      <c r="AF44">
        <f t="shared" si="15"/>
        <v>-1</v>
      </c>
      <c r="AG44">
        <f t="shared" si="16"/>
        <v>-1</v>
      </c>
      <c r="AH44">
        <f t="shared" si="17"/>
        <v>-1</v>
      </c>
      <c r="AI44">
        <f t="shared" si="18"/>
        <v>-1</v>
      </c>
      <c r="AJ44">
        <f t="shared" si="19"/>
        <v>-1</v>
      </c>
      <c r="AK44">
        <f t="shared" si="20"/>
        <v>-1</v>
      </c>
      <c r="AL44">
        <f t="shared" si="21"/>
        <v>-1</v>
      </c>
      <c r="AM44">
        <f t="shared" si="23"/>
        <v>-97</v>
      </c>
    </row>
    <row r="45" spans="1:39" x14ac:dyDescent="0.25">
      <c r="A45" t="s">
        <v>42</v>
      </c>
      <c r="B45">
        <v>1</v>
      </c>
      <c r="D45" s="2" t="str">
        <f t="shared" si="4"/>
        <v>E1</v>
      </c>
      <c r="E45" s="1" t="s">
        <v>176</v>
      </c>
      <c r="F45" s="1" t="s">
        <v>177</v>
      </c>
      <c r="G45" s="1" t="s">
        <v>178</v>
      </c>
      <c r="H45" s="1" t="s">
        <v>179</v>
      </c>
      <c r="I45" s="1" t="s">
        <v>180</v>
      </c>
      <c r="J45" s="1" t="s">
        <v>181</v>
      </c>
      <c r="K45" s="1" t="s">
        <v>182</v>
      </c>
      <c r="L45" s="1" t="s">
        <v>183</v>
      </c>
      <c r="M45">
        <f t="shared" si="5"/>
        <v>233</v>
      </c>
      <c r="N45">
        <f t="shared" si="6"/>
        <v>229</v>
      </c>
      <c r="O45">
        <f t="shared" si="7"/>
        <v>245</v>
      </c>
      <c r="P45">
        <f t="shared" si="8"/>
        <v>237</v>
      </c>
      <c r="Q45">
        <f t="shared" si="9"/>
        <v>253</v>
      </c>
      <c r="R45">
        <f t="shared" si="10"/>
        <v>249</v>
      </c>
      <c r="S45">
        <f t="shared" si="11"/>
        <v>225</v>
      </c>
      <c r="T45">
        <f t="shared" si="12"/>
        <v>241</v>
      </c>
      <c r="U45">
        <f t="shared" si="22"/>
        <v>225</v>
      </c>
      <c r="V45" s="2" t="str">
        <f t="shared" si="13"/>
        <v>2</v>
      </c>
      <c r="W45" s="1" t="s">
        <v>176</v>
      </c>
      <c r="X45" s="1" t="s">
        <v>177</v>
      </c>
      <c r="Y45" s="1" t="s">
        <v>178</v>
      </c>
      <c r="Z45" s="1" t="s">
        <v>179</v>
      </c>
      <c r="AA45" s="1" t="s">
        <v>180</v>
      </c>
      <c r="AB45" s="1" t="s">
        <v>181</v>
      </c>
      <c r="AC45" s="1" t="s">
        <v>182</v>
      </c>
      <c r="AD45" s="1" t="s">
        <v>183</v>
      </c>
      <c r="AE45">
        <f t="shared" si="14"/>
        <v>-234</v>
      </c>
      <c r="AF45">
        <f t="shared" si="15"/>
        <v>-230</v>
      </c>
      <c r="AG45">
        <f t="shared" si="16"/>
        <v>-246</v>
      </c>
      <c r="AH45">
        <f t="shared" si="17"/>
        <v>-238</v>
      </c>
      <c r="AI45">
        <f t="shared" si="18"/>
        <v>-254</v>
      </c>
      <c r="AJ45">
        <f t="shared" si="19"/>
        <v>-250</v>
      </c>
      <c r="AK45">
        <f t="shared" si="20"/>
        <v>-226</v>
      </c>
      <c r="AL45">
        <f t="shared" si="21"/>
        <v>-242</v>
      </c>
      <c r="AM45">
        <f t="shared" si="23"/>
        <v>-254</v>
      </c>
    </row>
    <row r="46" spans="1:39" x14ac:dyDescent="0.25">
      <c r="A46" t="s">
        <v>43</v>
      </c>
      <c r="B46">
        <v>3</v>
      </c>
      <c r="D46" s="2" t="str">
        <f t="shared" si="4"/>
        <v>38</v>
      </c>
      <c r="E46" s="1" t="s">
        <v>184</v>
      </c>
      <c r="F46" s="1" t="s">
        <v>80</v>
      </c>
      <c r="G46" s="1" t="s">
        <v>80</v>
      </c>
      <c r="H46" s="1" t="s">
        <v>80</v>
      </c>
      <c r="I46" s="1" t="s">
        <v>80</v>
      </c>
      <c r="J46" s="1" t="s">
        <v>80</v>
      </c>
      <c r="K46" s="1" t="s">
        <v>80</v>
      </c>
      <c r="L46" s="1" t="s">
        <v>80</v>
      </c>
      <c r="M46">
        <f t="shared" si="5"/>
        <v>56</v>
      </c>
      <c r="N46">
        <f t="shared" si="6"/>
        <v>255</v>
      </c>
      <c r="O46">
        <f t="shared" si="7"/>
        <v>255</v>
      </c>
      <c r="P46">
        <f t="shared" si="8"/>
        <v>255</v>
      </c>
      <c r="Q46">
        <f t="shared" si="9"/>
        <v>255</v>
      </c>
      <c r="R46">
        <f t="shared" si="10"/>
        <v>255</v>
      </c>
      <c r="S46">
        <f t="shared" si="11"/>
        <v>255</v>
      </c>
      <c r="T46">
        <f t="shared" si="12"/>
        <v>255</v>
      </c>
      <c r="U46">
        <f t="shared" si="22"/>
        <v>56</v>
      </c>
      <c r="V46" s="2" t="str">
        <f t="shared" si="13"/>
        <v>C7</v>
      </c>
      <c r="W46" s="1" t="s">
        <v>184</v>
      </c>
      <c r="X46" s="1"/>
      <c r="Y46" s="1"/>
      <c r="Z46" s="1"/>
      <c r="AA46" s="1"/>
      <c r="AB46" s="1"/>
      <c r="AC46" s="1"/>
      <c r="AD46" s="1"/>
      <c r="AE46">
        <f t="shared" si="14"/>
        <v>-57</v>
      </c>
      <c r="AF46">
        <f t="shared" si="15"/>
        <v>-1</v>
      </c>
      <c r="AG46">
        <f t="shared" si="16"/>
        <v>-1</v>
      </c>
      <c r="AH46">
        <f t="shared" si="17"/>
        <v>-1</v>
      </c>
      <c r="AI46">
        <f t="shared" si="18"/>
        <v>-1</v>
      </c>
      <c r="AJ46">
        <f t="shared" si="19"/>
        <v>-1</v>
      </c>
      <c r="AK46">
        <f t="shared" si="20"/>
        <v>-1</v>
      </c>
      <c r="AL46">
        <f t="shared" si="21"/>
        <v>-1</v>
      </c>
      <c r="AM46">
        <f t="shared" si="23"/>
        <v>-57</v>
      </c>
    </row>
    <row r="47" spans="1:39" x14ac:dyDescent="0.25">
      <c r="A47" t="s">
        <v>44</v>
      </c>
      <c r="B47">
        <v>3</v>
      </c>
      <c r="D47" s="2" t="str">
        <f t="shared" si="4"/>
        <v>F8</v>
      </c>
      <c r="E47" s="1" t="s">
        <v>185</v>
      </c>
      <c r="F47" s="1" t="s">
        <v>80</v>
      </c>
      <c r="G47" s="1" t="s">
        <v>80</v>
      </c>
      <c r="H47" s="1" t="s">
        <v>80</v>
      </c>
      <c r="I47" s="1" t="s">
        <v>80</v>
      </c>
      <c r="J47" s="1" t="s">
        <v>80</v>
      </c>
      <c r="K47" s="1" t="s">
        <v>80</v>
      </c>
      <c r="L47" s="1" t="s">
        <v>80</v>
      </c>
      <c r="M47">
        <f t="shared" si="5"/>
        <v>248</v>
      </c>
      <c r="N47">
        <f t="shared" si="6"/>
        <v>255</v>
      </c>
      <c r="O47">
        <f t="shared" si="7"/>
        <v>255</v>
      </c>
      <c r="P47">
        <f t="shared" si="8"/>
        <v>255</v>
      </c>
      <c r="Q47">
        <f t="shared" si="9"/>
        <v>255</v>
      </c>
      <c r="R47">
        <f t="shared" si="10"/>
        <v>255</v>
      </c>
      <c r="S47">
        <f t="shared" si="11"/>
        <v>255</v>
      </c>
      <c r="T47">
        <f t="shared" si="12"/>
        <v>255</v>
      </c>
      <c r="U47">
        <f t="shared" si="22"/>
        <v>248</v>
      </c>
      <c r="V47" s="2" t="str">
        <f t="shared" si="13"/>
        <v>7</v>
      </c>
      <c r="W47" s="1" t="s">
        <v>185</v>
      </c>
      <c r="X47" s="1"/>
      <c r="Y47" s="1"/>
      <c r="Z47" s="1"/>
      <c r="AA47" s="1"/>
      <c r="AB47" s="1"/>
      <c r="AC47" s="1"/>
      <c r="AD47" s="1"/>
      <c r="AE47">
        <f t="shared" si="14"/>
        <v>-249</v>
      </c>
      <c r="AF47">
        <f t="shared" si="15"/>
        <v>-1</v>
      </c>
      <c r="AG47">
        <f t="shared" si="16"/>
        <v>-1</v>
      </c>
      <c r="AH47">
        <f t="shared" si="17"/>
        <v>-1</v>
      </c>
      <c r="AI47">
        <f t="shared" si="18"/>
        <v>-1</v>
      </c>
      <c r="AJ47">
        <f t="shared" si="19"/>
        <v>-1</v>
      </c>
      <c r="AK47">
        <f t="shared" si="20"/>
        <v>-1</v>
      </c>
      <c r="AL47">
        <f t="shared" si="21"/>
        <v>-1</v>
      </c>
      <c r="AM47">
        <f t="shared" si="23"/>
        <v>-249</v>
      </c>
    </row>
    <row r="48" spans="1:39" x14ac:dyDescent="0.25">
      <c r="A48" t="s">
        <v>45</v>
      </c>
      <c r="B48">
        <v>3</v>
      </c>
      <c r="D48" s="2" t="str">
        <f t="shared" si="4"/>
        <v>78</v>
      </c>
      <c r="E48" s="1" t="s">
        <v>186</v>
      </c>
      <c r="F48" s="1" t="s">
        <v>80</v>
      </c>
      <c r="G48" s="1" t="s">
        <v>80</v>
      </c>
      <c r="H48" s="1" t="s">
        <v>80</v>
      </c>
      <c r="I48" s="1" t="s">
        <v>80</v>
      </c>
      <c r="J48" s="1" t="s">
        <v>80</v>
      </c>
      <c r="K48" s="1" t="s">
        <v>80</v>
      </c>
      <c r="L48" s="1" t="s">
        <v>80</v>
      </c>
      <c r="M48">
        <f t="shared" si="5"/>
        <v>120</v>
      </c>
      <c r="N48">
        <f t="shared" si="6"/>
        <v>255</v>
      </c>
      <c r="O48">
        <f t="shared" si="7"/>
        <v>255</v>
      </c>
      <c r="P48">
        <f t="shared" si="8"/>
        <v>255</v>
      </c>
      <c r="Q48">
        <f t="shared" si="9"/>
        <v>255</v>
      </c>
      <c r="R48">
        <f t="shared" si="10"/>
        <v>255</v>
      </c>
      <c r="S48">
        <f t="shared" si="11"/>
        <v>255</v>
      </c>
      <c r="T48">
        <f t="shared" si="12"/>
        <v>255</v>
      </c>
      <c r="U48">
        <f t="shared" si="22"/>
        <v>120</v>
      </c>
      <c r="V48" s="2" t="str">
        <f t="shared" si="13"/>
        <v>87</v>
      </c>
      <c r="W48" s="1" t="s">
        <v>186</v>
      </c>
      <c r="X48" s="1"/>
      <c r="Y48" s="1"/>
      <c r="Z48" s="1"/>
      <c r="AA48" s="1"/>
      <c r="AB48" s="1"/>
      <c r="AC48" s="1"/>
      <c r="AD48" s="1"/>
      <c r="AE48">
        <f t="shared" si="14"/>
        <v>-121</v>
      </c>
      <c r="AF48">
        <f t="shared" si="15"/>
        <v>-1</v>
      </c>
      <c r="AG48">
        <f t="shared" si="16"/>
        <v>-1</v>
      </c>
      <c r="AH48">
        <f t="shared" si="17"/>
        <v>-1</v>
      </c>
      <c r="AI48">
        <f t="shared" si="18"/>
        <v>-1</v>
      </c>
      <c r="AJ48">
        <f t="shared" si="19"/>
        <v>-1</v>
      </c>
      <c r="AK48">
        <f t="shared" si="20"/>
        <v>-1</v>
      </c>
      <c r="AL48">
        <f t="shared" si="21"/>
        <v>-1</v>
      </c>
      <c r="AM48">
        <f t="shared" si="23"/>
        <v>-121</v>
      </c>
    </row>
    <row r="49" spans="1:39" x14ac:dyDescent="0.25">
      <c r="A49" t="s">
        <v>46</v>
      </c>
      <c r="B49">
        <v>1</v>
      </c>
      <c r="D49" s="2" t="str">
        <f t="shared" si="4"/>
        <v>81</v>
      </c>
      <c r="E49" s="1" t="s">
        <v>187</v>
      </c>
      <c r="F49" s="1" t="s">
        <v>188</v>
      </c>
      <c r="G49" s="1" t="s">
        <v>189</v>
      </c>
      <c r="H49" s="1" t="s">
        <v>190</v>
      </c>
      <c r="I49" s="1" t="s">
        <v>191</v>
      </c>
      <c r="J49" s="1" t="s">
        <v>192</v>
      </c>
      <c r="K49" s="1" t="s">
        <v>193</v>
      </c>
      <c r="L49" s="1" t="s">
        <v>80</v>
      </c>
      <c r="M49">
        <f t="shared" si="5"/>
        <v>133</v>
      </c>
      <c r="N49">
        <f t="shared" si="6"/>
        <v>149</v>
      </c>
      <c r="O49">
        <f t="shared" si="7"/>
        <v>141</v>
      </c>
      <c r="P49">
        <f t="shared" si="8"/>
        <v>157</v>
      </c>
      <c r="Q49">
        <f t="shared" si="9"/>
        <v>153</v>
      </c>
      <c r="R49">
        <f t="shared" si="10"/>
        <v>129</v>
      </c>
      <c r="S49">
        <f t="shared" si="11"/>
        <v>145</v>
      </c>
      <c r="T49">
        <f t="shared" si="12"/>
        <v>255</v>
      </c>
      <c r="U49">
        <f t="shared" si="22"/>
        <v>129</v>
      </c>
      <c r="V49" s="2" t="str">
        <f t="shared" si="13"/>
        <v>62</v>
      </c>
      <c r="W49" s="1" t="s">
        <v>187</v>
      </c>
      <c r="X49" s="1" t="s">
        <v>188</v>
      </c>
      <c r="Y49" s="1" t="s">
        <v>189</v>
      </c>
      <c r="Z49" s="1" t="s">
        <v>190</v>
      </c>
      <c r="AA49" s="1" t="s">
        <v>191</v>
      </c>
      <c r="AB49" s="1" t="s">
        <v>192</v>
      </c>
      <c r="AC49" s="1" t="s">
        <v>193</v>
      </c>
      <c r="AD49" s="1"/>
      <c r="AE49">
        <f t="shared" si="14"/>
        <v>-134</v>
      </c>
      <c r="AF49">
        <f t="shared" si="15"/>
        <v>-150</v>
      </c>
      <c r="AG49">
        <f t="shared" si="16"/>
        <v>-142</v>
      </c>
      <c r="AH49">
        <f t="shared" si="17"/>
        <v>-158</v>
      </c>
      <c r="AI49">
        <f t="shared" si="18"/>
        <v>-154</v>
      </c>
      <c r="AJ49">
        <f t="shared" si="19"/>
        <v>-130</v>
      </c>
      <c r="AK49">
        <f t="shared" si="20"/>
        <v>-146</v>
      </c>
      <c r="AL49">
        <f t="shared" si="21"/>
        <v>-1</v>
      </c>
      <c r="AM49">
        <f t="shared" si="23"/>
        <v>-158</v>
      </c>
    </row>
    <row r="50" spans="1:39" x14ac:dyDescent="0.25">
      <c r="A50" t="s">
        <v>47</v>
      </c>
      <c r="B50">
        <v>2.2000000000000002</v>
      </c>
      <c r="D50" s="2" t="str">
        <f t="shared" si="4"/>
        <v>86</v>
      </c>
      <c r="E50" s="1" t="s">
        <v>194</v>
      </c>
      <c r="F50" s="1" t="s">
        <v>195</v>
      </c>
      <c r="G50" s="1" t="s">
        <v>196</v>
      </c>
      <c r="H50" s="1" t="s">
        <v>80</v>
      </c>
      <c r="I50" s="1" t="s">
        <v>80</v>
      </c>
      <c r="J50" s="1" t="s">
        <v>80</v>
      </c>
      <c r="K50" s="1" t="s">
        <v>80</v>
      </c>
      <c r="L50" s="1" t="s">
        <v>80</v>
      </c>
      <c r="M50">
        <f t="shared" si="5"/>
        <v>134</v>
      </c>
      <c r="N50">
        <f t="shared" si="6"/>
        <v>150</v>
      </c>
      <c r="O50">
        <f t="shared" si="7"/>
        <v>142</v>
      </c>
      <c r="P50">
        <f t="shared" si="8"/>
        <v>255</v>
      </c>
      <c r="Q50">
        <f t="shared" si="9"/>
        <v>255</v>
      </c>
      <c r="R50">
        <f t="shared" si="10"/>
        <v>255</v>
      </c>
      <c r="S50">
        <f t="shared" si="11"/>
        <v>255</v>
      </c>
      <c r="T50">
        <f t="shared" si="12"/>
        <v>255</v>
      </c>
      <c r="U50">
        <f t="shared" si="22"/>
        <v>134</v>
      </c>
      <c r="V50" s="2" t="str">
        <f t="shared" si="13"/>
        <v>61</v>
      </c>
      <c r="W50" s="1" t="s">
        <v>194</v>
      </c>
      <c r="X50" s="1" t="s">
        <v>195</v>
      </c>
      <c r="Y50" s="1" t="s">
        <v>196</v>
      </c>
      <c r="Z50" s="1"/>
      <c r="AA50" s="1"/>
      <c r="AB50" s="1"/>
      <c r="AC50" s="1"/>
      <c r="AD50" s="1"/>
      <c r="AE50">
        <f t="shared" si="14"/>
        <v>-135</v>
      </c>
      <c r="AF50">
        <f t="shared" si="15"/>
        <v>-151</v>
      </c>
      <c r="AG50">
        <f t="shared" si="16"/>
        <v>-143</v>
      </c>
      <c r="AH50">
        <f t="shared" si="17"/>
        <v>-1</v>
      </c>
      <c r="AI50">
        <f t="shared" si="18"/>
        <v>-1</v>
      </c>
      <c r="AJ50">
        <f t="shared" si="19"/>
        <v>-1</v>
      </c>
      <c r="AK50">
        <f t="shared" si="20"/>
        <v>-1</v>
      </c>
      <c r="AL50">
        <f t="shared" si="21"/>
        <v>-1</v>
      </c>
      <c r="AM50">
        <f t="shared" si="23"/>
        <v>-159</v>
      </c>
    </row>
    <row r="51" spans="1:39" x14ac:dyDescent="0.25">
      <c r="A51" t="s">
        <v>48</v>
      </c>
      <c r="B51">
        <v>3</v>
      </c>
      <c r="D51" s="2" t="str">
        <f t="shared" si="4"/>
        <v>84</v>
      </c>
      <c r="E51" s="1" t="s">
        <v>197</v>
      </c>
      <c r="F51" s="1" t="s">
        <v>198</v>
      </c>
      <c r="G51" s="1" t="s">
        <v>199</v>
      </c>
      <c r="H51" s="1" t="s">
        <v>80</v>
      </c>
      <c r="I51" s="1" t="s">
        <v>80</v>
      </c>
      <c r="J51" s="1" t="s">
        <v>80</v>
      </c>
      <c r="K51" s="1" t="s">
        <v>80</v>
      </c>
      <c r="L51" s="1" t="s">
        <v>80</v>
      </c>
      <c r="M51">
        <f t="shared" si="5"/>
        <v>132</v>
      </c>
      <c r="N51">
        <f t="shared" si="6"/>
        <v>148</v>
      </c>
      <c r="O51">
        <f t="shared" si="7"/>
        <v>140</v>
      </c>
      <c r="P51">
        <f t="shared" si="8"/>
        <v>255</v>
      </c>
      <c r="Q51">
        <f t="shared" si="9"/>
        <v>255</v>
      </c>
      <c r="R51">
        <f t="shared" si="10"/>
        <v>255</v>
      </c>
      <c r="S51">
        <f t="shared" si="11"/>
        <v>255</v>
      </c>
      <c r="T51">
        <f t="shared" si="12"/>
        <v>255</v>
      </c>
      <c r="U51">
        <f t="shared" si="22"/>
        <v>132</v>
      </c>
      <c r="V51" s="2" t="str">
        <f t="shared" si="13"/>
        <v>63</v>
      </c>
      <c r="W51" s="1" t="s">
        <v>197</v>
      </c>
      <c r="X51" s="1" t="s">
        <v>198</v>
      </c>
      <c r="Y51" s="1" t="s">
        <v>199</v>
      </c>
      <c r="Z51" s="1"/>
      <c r="AA51" s="1"/>
      <c r="AB51" s="1"/>
      <c r="AC51" s="1"/>
      <c r="AD51" s="1"/>
      <c r="AE51">
        <f t="shared" si="14"/>
        <v>-133</v>
      </c>
      <c r="AF51">
        <f t="shared" si="15"/>
        <v>-149</v>
      </c>
      <c r="AG51">
        <f t="shared" si="16"/>
        <v>-141</v>
      </c>
      <c r="AH51">
        <f t="shared" si="17"/>
        <v>-1</v>
      </c>
      <c r="AI51">
        <f t="shared" si="18"/>
        <v>-1</v>
      </c>
      <c r="AJ51">
        <f t="shared" si="19"/>
        <v>-1</v>
      </c>
      <c r="AK51">
        <f t="shared" si="20"/>
        <v>-1</v>
      </c>
      <c r="AL51">
        <f t="shared" si="21"/>
        <v>-1</v>
      </c>
      <c r="AM51">
        <f t="shared" si="23"/>
        <v>-157</v>
      </c>
    </row>
    <row r="52" spans="1:39" x14ac:dyDescent="0.25">
      <c r="A52" t="s">
        <v>49</v>
      </c>
      <c r="B52">
        <v>2</v>
      </c>
      <c r="D52" s="2" t="str">
        <f t="shared" si="4"/>
        <v>AA</v>
      </c>
      <c r="E52" s="1" t="s">
        <v>200</v>
      </c>
      <c r="F52" s="1" t="s">
        <v>80</v>
      </c>
      <c r="G52" s="1" t="s">
        <v>80</v>
      </c>
      <c r="H52" s="1" t="s">
        <v>80</v>
      </c>
      <c r="I52" s="1" t="s">
        <v>80</v>
      </c>
      <c r="J52" s="1" t="s">
        <v>80</v>
      </c>
      <c r="K52" s="1" t="s">
        <v>80</v>
      </c>
      <c r="L52" s="1" t="s">
        <v>80</v>
      </c>
      <c r="M52">
        <f t="shared" si="5"/>
        <v>170</v>
      </c>
      <c r="N52">
        <f t="shared" si="6"/>
        <v>255</v>
      </c>
      <c r="O52">
        <f t="shared" si="7"/>
        <v>255</v>
      </c>
      <c r="P52">
        <f t="shared" si="8"/>
        <v>255</v>
      </c>
      <c r="Q52">
        <f t="shared" si="9"/>
        <v>255</v>
      </c>
      <c r="R52">
        <f t="shared" si="10"/>
        <v>255</v>
      </c>
      <c r="S52">
        <f t="shared" si="11"/>
        <v>255</v>
      </c>
      <c r="T52">
        <f t="shared" si="12"/>
        <v>255</v>
      </c>
      <c r="U52">
        <f t="shared" si="22"/>
        <v>170</v>
      </c>
      <c r="V52" s="2" t="str">
        <f t="shared" si="13"/>
        <v>55</v>
      </c>
      <c r="W52" s="1" t="s">
        <v>200</v>
      </c>
      <c r="X52" s="1"/>
      <c r="Y52" s="1"/>
      <c r="Z52" s="1"/>
      <c r="AA52" s="1"/>
      <c r="AB52" s="1"/>
      <c r="AC52" s="1"/>
      <c r="AD52" s="1"/>
      <c r="AE52">
        <f t="shared" si="14"/>
        <v>-171</v>
      </c>
      <c r="AF52">
        <f t="shared" si="15"/>
        <v>-1</v>
      </c>
      <c r="AG52">
        <f t="shared" si="16"/>
        <v>-1</v>
      </c>
      <c r="AH52">
        <f t="shared" si="17"/>
        <v>-1</v>
      </c>
      <c r="AI52">
        <f t="shared" si="18"/>
        <v>-1</v>
      </c>
      <c r="AJ52">
        <f t="shared" si="19"/>
        <v>-1</v>
      </c>
      <c r="AK52">
        <f t="shared" si="20"/>
        <v>-1</v>
      </c>
      <c r="AL52">
        <f t="shared" si="21"/>
        <v>-1</v>
      </c>
      <c r="AM52">
        <f t="shared" si="23"/>
        <v>-171</v>
      </c>
    </row>
    <row r="53" spans="1:39" x14ac:dyDescent="0.25">
      <c r="A53" t="s">
        <v>50</v>
      </c>
      <c r="D53" s="2" t="str">
        <f t="shared" si="4"/>
        <v>A8</v>
      </c>
      <c r="E53" s="1" t="s">
        <v>201</v>
      </c>
      <c r="F53" s="1" t="s">
        <v>80</v>
      </c>
      <c r="G53" s="1" t="s">
        <v>80</v>
      </c>
      <c r="H53" s="1" t="s">
        <v>80</v>
      </c>
      <c r="I53" s="1" t="s">
        <v>80</v>
      </c>
      <c r="J53" s="1" t="s">
        <v>80</v>
      </c>
      <c r="K53" s="1" t="s">
        <v>80</v>
      </c>
      <c r="L53" s="1" t="s">
        <v>80</v>
      </c>
      <c r="M53">
        <f t="shared" si="5"/>
        <v>168</v>
      </c>
      <c r="N53">
        <f t="shared" si="6"/>
        <v>255</v>
      </c>
      <c r="O53">
        <f t="shared" si="7"/>
        <v>255</v>
      </c>
      <c r="P53">
        <f t="shared" si="8"/>
        <v>255</v>
      </c>
      <c r="Q53">
        <f t="shared" si="9"/>
        <v>255</v>
      </c>
      <c r="R53">
        <f t="shared" si="10"/>
        <v>255</v>
      </c>
      <c r="S53">
        <f t="shared" si="11"/>
        <v>255</v>
      </c>
      <c r="T53">
        <f t="shared" si="12"/>
        <v>255</v>
      </c>
      <c r="U53">
        <f t="shared" si="22"/>
        <v>168</v>
      </c>
      <c r="V53" s="2" t="str">
        <f t="shared" si="13"/>
        <v>57</v>
      </c>
      <c r="W53" s="1" t="s">
        <v>201</v>
      </c>
      <c r="X53" s="1"/>
      <c r="Y53" s="1"/>
      <c r="Z53" s="1"/>
      <c r="AA53" s="1"/>
      <c r="AB53" s="1"/>
      <c r="AC53" s="1"/>
      <c r="AD53" s="1"/>
      <c r="AE53">
        <f t="shared" si="14"/>
        <v>-169</v>
      </c>
      <c r="AF53">
        <f t="shared" si="15"/>
        <v>-1</v>
      </c>
      <c r="AG53">
        <f t="shared" si="16"/>
        <v>-1</v>
      </c>
      <c r="AH53">
        <f t="shared" si="17"/>
        <v>-1</v>
      </c>
      <c r="AI53">
        <f t="shared" si="18"/>
        <v>-1</v>
      </c>
      <c r="AJ53">
        <f t="shared" si="19"/>
        <v>-1</v>
      </c>
      <c r="AK53">
        <f t="shared" si="20"/>
        <v>-1</v>
      </c>
      <c r="AL53">
        <f t="shared" si="21"/>
        <v>-1</v>
      </c>
      <c r="AM53">
        <f t="shared" si="23"/>
        <v>-169</v>
      </c>
    </row>
    <row r="54" spans="1:39" x14ac:dyDescent="0.25">
      <c r="A54" t="s">
        <v>51</v>
      </c>
      <c r="B54">
        <v>2</v>
      </c>
      <c r="D54" s="2" t="str">
        <f t="shared" si="4"/>
        <v>98</v>
      </c>
      <c r="E54" s="1" t="s">
        <v>202</v>
      </c>
      <c r="F54" s="1" t="s">
        <v>80</v>
      </c>
      <c r="G54" s="1" t="s">
        <v>80</v>
      </c>
      <c r="H54" s="1" t="s">
        <v>80</v>
      </c>
      <c r="I54" s="1" t="s">
        <v>80</v>
      </c>
      <c r="J54" s="1" t="s">
        <v>80</v>
      </c>
      <c r="K54" s="1" t="s">
        <v>80</v>
      </c>
      <c r="L54" s="1" t="s">
        <v>80</v>
      </c>
      <c r="M54">
        <f t="shared" si="5"/>
        <v>152</v>
      </c>
      <c r="N54">
        <f t="shared" si="6"/>
        <v>255</v>
      </c>
      <c r="O54">
        <f t="shared" si="7"/>
        <v>255</v>
      </c>
      <c r="P54">
        <f t="shared" si="8"/>
        <v>255</v>
      </c>
      <c r="Q54">
        <f t="shared" si="9"/>
        <v>255</v>
      </c>
      <c r="R54">
        <f t="shared" si="10"/>
        <v>255</v>
      </c>
      <c r="S54">
        <f t="shared" si="11"/>
        <v>255</v>
      </c>
      <c r="T54">
        <f t="shared" si="12"/>
        <v>255</v>
      </c>
      <c r="U54">
        <f t="shared" si="22"/>
        <v>152</v>
      </c>
      <c r="V54" s="2" t="str">
        <f t="shared" si="13"/>
        <v>67</v>
      </c>
      <c r="W54" s="1" t="s">
        <v>202</v>
      </c>
      <c r="X54" s="1"/>
      <c r="Y54" s="1"/>
      <c r="Z54" s="1"/>
      <c r="AA54" s="1"/>
      <c r="AB54" s="1"/>
      <c r="AC54" s="1"/>
      <c r="AD54" s="1"/>
      <c r="AE54">
        <f t="shared" si="14"/>
        <v>-153</v>
      </c>
      <c r="AF54">
        <f t="shared" si="15"/>
        <v>-1</v>
      </c>
      <c r="AG54">
        <f t="shared" si="16"/>
        <v>-1</v>
      </c>
      <c r="AH54">
        <f t="shared" si="17"/>
        <v>-1</v>
      </c>
      <c r="AI54">
        <f t="shared" si="18"/>
        <v>-1</v>
      </c>
      <c r="AJ54">
        <f t="shared" si="19"/>
        <v>-1</v>
      </c>
      <c r="AK54">
        <f t="shared" si="20"/>
        <v>-1</v>
      </c>
      <c r="AL54">
        <f t="shared" si="21"/>
        <v>-1</v>
      </c>
      <c r="AM54">
        <f t="shared" si="23"/>
        <v>-153</v>
      </c>
    </row>
    <row r="55" spans="1:39" x14ac:dyDescent="0.25">
      <c r="A55" t="s">
        <v>52</v>
      </c>
      <c r="D55" s="2" t="str">
        <f t="shared" si="4"/>
        <v>BA</v>
      </c>
      <c r="E55" s="1" t="s">
        <v>203</v>
      </c>
      <c r="F55" s="1" t="s">
        <v>80</v>
      </c>
      <c r="G55" s="1" t="s">
        <v>80</v>
      </c>
      <c r="H55" s="1" t="s">
        <v>80</v>
      </c>
      <c r="I55" s="1" t="s">
        <v>80</v>
      </c>
      <c r="J55" s="1" t="s">
        <v>80</v>
      </c>
      <c r="K55" s="1" t="s">
        <v>80</v>
      </c>
      <c r="L55" s="1" t="s">
        <v>80</v>
      </c>
      <c r="M55">
        <f t="shared" si="5"/>
        <v>186</v>
      </c>
      <c r="N55">
        <f t="shared" si="6"/>
        <v>255</v>
      </c>
      <c r="O55">
        <f t="shared" si="7"/>
        <v>255</v>
      </c>
      <c r="P55">
        <f t="shared" si="8"/>
        <v>255</v>
      </c>
      <c r="Q55">
        <f t="shared" si="9"/>
        <v>255</v>
      </c>
      <c r="R55">
        <f t="shared" si="10"/>
        <v>255</v>
      </c>
      <c r="S55">
        <f t="shared" si="11"/>
        <v>255</v>
      </c>
      <c r="T55">
        <f t="shared" si="12"/>
        <v>255</v>
      </c>
      <c r="U55">
        <f t="shared" si="22"/>
        <v>186</v>
      </c>
      <c r="V55" s="2" t="str">
        <f t="shared" si="13"/>
        <v>45</v>
      </c>
      <c r="W55" s="1" t="s">
        <v>203</v>
      </c>
      <c r="X55" s="1"/>
      <c r="Y55" s="1"/>
      <c r="Z55" s="1"/>
      <c r="AA55" s="1"/>
      <c r="AB55" s="1"/>
      <c r="AC55" s="1"/>
      <c r="AD55" s="1"/>
      <c r="AE55">
        <f t="shared" si="14"/>
        <v>-187</v>
      </c>
      <c r="AF55">
        <f t="shared" si="15"/>
        <v>-1</v>
      </c>
      <c r="AG55">
        <f t="shared" si="16"/>
        <v>-1</v>
      </c>
      <c r="AH55">
        <f t="shared" si="17"/>
        <v>-1</v>
      </c>
      <c r="AI55">
        <f t="shared" si="18"/>
        <v>-1</v>
      </c>
      <c r="AJ55">
        <f t="shared" si="19"/>
        <v>-1</v>
      </c>
      <c r="AK55">
        <f t="shared" si="20"/>
        <v>-1</v>
      </c>
      <c r="AL55">
        <f t="shared" si="21"/>
        <v>-1</v>
      </c>
      <c r="AM55">
        <f t="shared" si="23"/>
        <v>-187</v>
      </c>
    </row>
    <row r="56" spans="1:39" x14ac:dyDescent="0.25">
      <c r="A56" t="s">
        <v>53</v>
      </c>
      <c r="B56">
        <v>2</v>
      </c>
      <c r="D56" s="2" t="str">
        <f t="shared" si="4"/>
        <v>8A</v>
      </c>
      <c r="E56" s="1" t="s">
        <v>204</v>
      </c>
      <c r="F56" s="1" t="s">
        <v>80</v>
      </c>
      <c r="G56" s="1" t="s">
        <v>80</v>
      </c>
      <c r="H56" s="1" t="s">
        <v>80</v>
      </c>
      <c r="I56" s="1" t="s">
        <v>80</v>
      </c>
      <c r="J56" s="1" t="s">
        <v>80</v>
      </c>
      <c r="K56" s="1" t="s">
        <v>80</v>
      </c>
      <c r="L56" s="1" t="s">
        <v>80</v>
      </c>
      <c r="M56">
        <f t="shared" si="5"/>
        <v>138</v>
      </c>
      <c r="N56">
        <f t="shared" si="6"/>
        <v>255</v>
      </c>
      <c r="O56">
        <f t="shared" si="7"/>
        <v>255</v>
      </c>
      <c r="P56">
        <f t="shared" si="8"/>
        <v>255</v>
      </c>
      <c r="Q56">
        <f t="shared" si="9"/>
        <v>255</v>
      </c>
      <c r="R56">
        <f t="shared" si="10"/>
        <v>255</v>
      </c>
      <c r="S56">
        <f t="shared" si="11"/>
        <v>255</v>
      </c>
      <c r="T56">
        <f t="shared" si="12"/>
        <v>255</v>
      </c>
      <c r="U56">
        <f t="shared" si="22"/>
        <v>138</v>
      </c>
      <c r="V56" s="2" t="str">
        <f t="shared" si="13"/>
        <v>75</v>
      </c>
      <c r="W56" s="1" t="s">
        <v>204</v>
      </c>
      <c r="X56" s="1"/>
      <c r="Y56" s="1"/>
      <c r="Z56" s="1"/>
      <c r="AA56" s="1"/>
      <c r="AB56" s="1"/>
      <c r="AC56" s="1"/>
      <c r="AD56" s="1"/>
      <c r="AE56">
        <f t="shared" si="14"/>
        <v>-139</v>
      </c>
      <c r="AF56">
        <f t="shared" si="15"/>
        <v>-1</v>
      </c>
      <c r="AG56">
        <f t="shared" si="16"/>
        <v>-1</v>
      </c>
      <c r="AH56">
        <f t="shared" si="17"/>
        <v>-1</v>
      </c>
      <c r="AI56">
        <f t="shared" si="18"/>
        <v>-1</v>
      </c>
      <c r="AJ56">
        <f t="shared" si="19"/>
        <v>-1</v>
      </c>
      <c r="AK56">
        <f t="shared" si="20"/>
        <v>-1</v>
      </c>
      <c r="AL56">
        <f t="shared" si="21"/>
        <v>-1</v>
      </c>
      <c r="AM56">
        <f t="shared" si="23"/>
        <v>-139</v>
      </c>
    </row>
    <row r="57" spans="1:39" x14ac:dyDescent="0.25">
      <c r="A57" t="s">
        <v>54</v>
      </c>
      <c r="D57" s="2" t="str">
        <f t="shared" si="4"/>
        <v>9A</v>
      </c>
      <c r="E57" s="1" t="s">
        <v>205</v>
      </c>
      <c r="F57" s="1" t="s">
        <v>80</v>
      </c>
      <c r="G57" s="1" t="s">
        <v>80</v>
      </c>
      <c r="H57" s="1" t="s">
        <v>80</v>
      </c>
      <c r="I57" s="1" t="s">
        <v>80</v>
      </c>
      <c r="J57" s="1" t="s">
        <v>80</v>
      </c>
      <c r="K57" s="1" t="s">
        <v>80</v>
      </c>
      <c r="L57" s="1" t="s">
        <v>80</v>
      </c>
      <c r="M57">
        <f t="shared" si="5"/>
        <v>154</v>
      </c>
      <c r="N57">
        <f t="shared" si="6"/>
        <v>255</v>
      </c>
      <c r="O57">
        <f t="shared" si="7"/>
        <v>255</v>
      </c>
      <c r="P57">
        <f t="shared" si="8"/>
        <v>255</v>
      </c>
      <c r="Q57">
        <f t="shared" si="9"/>
        <v>255</v>
      </c>
      <c r="R57">
        <f t="shared" si="10"/>
        <v>255</v>
      </c>
      <c r="S57">
        <f t="shared" si="11"/>
        <v>255</v>
      </c>
      <c r="T57">
        <f t="shared" si="12"/>
        <v>255</v>
      </c>
      <c r="U57">
        <f t="shared" si="22"/>
        <v>154</v>
      </c>
      <c r="V57" s="2" t="str">
        <f t="shared" si="13"/>
        <v>65</v>
      </c>
      <c r="W57" s="1" t="s">
        <v>205</v>
      </c>
      <c r="X57" s="1"/>
      <c r="Y57" s="1"/>
      <c r="Z57" s="1"/>
      <c r="AA57" s="1"/>
      <c r="AB57" s="1"/>
      <c r="AC57" s="1"/>
      <c r="AD57" s="1"/>
      <c r="AE57">
        <f t="shared" si="14"/>
        <v>-155</v>
      </c>
      <c r="AF57">
        <f t="shared" si="15"/>
        <v>-1</v>
      </c>
      <c r="AG57">
        <f t="shared" si="16"/>
        <v>-1</v>
      </c>
      <c r="AH57">
        <f t="shared" si="17"/>
        <v>-1</v>
      </c>
      <c r="AI57">
        <f t="shared" si="18"/>
        <v>-1</v>
      </c>
      <c r="AJ57">
        <f t="shared" si="19"/>
        <v>-1</v>
      </c>
      <c r="AK57">
        <f t="shared" si="20"/>
        <v>-1</v>
      </c>
      <c r="AL57">
        <f t="shared" si="21"/>
        <v>-1</v>
      </c>
      <c r="AM57">
        <f t="shared" si="23"/>
        <v>-155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6"/>
  <sheetViews>
    <sheetView tabSelected="1" workbookViewId="0">
      <selection activeCell="M7" sqref="M7"/>
    </sheetView>
  </sheetViews>
  <sheetFormatPr defaultRowHeight="15" x14ac:dyDescent="0.25"/>
  <cols>
    <col min="1" max="1" width="9.140625" style="1"/>
  </cols>
  <sheetData>
    <row r="1" spans="1:27" s="1" customFormat="1" x14ac:dyDescent="0.25">
      <c r="A1" s="1" t="s">
        <v>238</v>
      </c>
      <c r="D1" s="1" t="s">
        <v>210</v>
      </c>
      <c r="J1" s="1" t="s">
        <v>211</v>
      </c>
      <c r="P1" s="1" t="s">
        <v>212</v>
      </c>
      <c r="V1" s="1" t="s">
        <v>213</v>
      </c>
      <c r="AA1" t="s">
        <v>0</v>
      </c>
    </row>
    <row r="2" spans="1:27" x14ac:dyDescent="0.25">
      <c r="AA2" t="s">
        <v>1</v>
      </c>
    </row>
    <row r="3" spans="1:27" x14ac:dyDescent="0.25">
      <c r="C3" s="1" t="s">
        <v>220</v>
      </c>
      <c r="D3" s="1" t="s">
        <v>210</v>
      </c>
      <c r="E3" s="1" t="s">
        <v>211</v>
      </c>
      <c r="F3" s="1" t="s">
        <v>212</v>
      </c>
      <c r="G3" s="1" t="s">
        <v>213</v>
      </c>
      <c r="I3" s="1" t="s">
        <v>234</v>
      </c>
      <c r="J3" s="1" t="s">
        <v>210</v>
      </c>
      <c r="K3" s="1" t="s">
        <v>211</v>
      </c>
      <c r="L3" s="1" t="s">
        <v>212</v>
      </c>
      <c r="M3" s="1" t="s">
        <v>213</v>
      </c>
      <c r="O3" s="1" t="s">
        <v>229</v>
      </c>
      <c r="P3" s="1" t="s">
        <v>210</v>
      </c>
      <c r="Q3" s="1" t="s">
        <v>211</v>
      </c>
      <c r="R3" s="1" t="s">
        <v>212</v>
      </c>
      <c r="S3" s="1" t="s">
        <v>213</v>
      </c>
      <c r="U3" s="1" t="s">
        <v>72</v>
      </c>
      <c r="V3" s="1" t="s">
        <v>210</v>
      </c>
      <c r="W3" s="1" t="s">
        <v>211</v>
      </c>
      <c r="X3" s="1" t="s">
        <v>212</v>
      </c>
      <c r="Y3" s="1" t="s">
        <v>213</v>
      </c>
      <c r="AA3" t="s">
        <v>2</v>
      </c>
    </row>
    <row r="4" spans="1:27" x14ac:dyDescent="0.25">
      <c r="C4" s="1" t="s">
        <v>206</v>
      </c>
      <c r="D4" s="2" t="s">
        <v>10</v>
      </c>
      <c r="E4" s="2" t="s">
        <v>33</v>
      </c>
      <c r="F4" s="2">
        <v>3</v>
      </c>
      <c r="G4" s="2">
        <v>2</v>
      </c>
      <c r="I4" s="1" t="s">
        <v>206</v>
      </c>
      <c r="J4" s="2" t="s">
        <v>9</v>
      </c>
      <c r="K4" s="2" t="s">
        <v>33</v>
      </c>
      <c r="L4" s="2">
        <v>3</v>
      </c>
      <c r="M4" s="2">
        <v>2</v>
      </c>
      <c r="O4" s="1" t="s">
        <v>206</v>
      </c>
      <c r="P4" s="2" t="s">
        <v>7</v>
      </c>
      <c r="Q4" s="2" t="s">
        <v>1</v>
      </c>
      <c r="R4" s="2">
        <v>3</v>
      </c>
      <c r="S4" s="2">
        <v>2</v>
      </c>
      <c r="U4" s="1" t="s">
        <v>206</v>
      </c>
      <c r="V4" s="2" t="s">
        <v>57</v>
      </c>
      <c r="W4" s="2" t="s">
        <v>1</v>
      </c>
      <c r="X4" s="2">
        <v>3</v>
      </c>
      <c r="Y4" s="2">
        <v>2</v>
      </c>
      <c r="AA4" t="s">
        <v>3</v>
      </c>
    </row>
    <row r="5" spans="1:27" x14ac:dyDescent="0.25">
      <c r="A5" s="1" t="s">
        <v>206</v>
      </c>
      <c r="C5" s="1" t="s">
        <v>207</v>
      </c>
      <c r="D5" s="2">
        <v>4</v>
      </c>
      <c r="E5" s="2" t="s">
        <v>33</v>
      </c>
      <c r="F5" s="2">
        <v>7</v>
      </c>
      <c r="G5" s="2" t="s">
        <v>2</v>
      </c>
      <c r="I5" s="1" t="s">
        <v>207</v>
      </c>
      <c r="J5" s="2">
        <v>4</v>
      </c>
      <c r="K5" s="2" t="s">
        <v>33</v>
      </c>
      <c r="L5" s="2">
        <v>7</v>
      </c>
      <c r="M5" s="2" t="s">
        <v>2</v>
      </c>
      <c r="O5" s="1" t="s">
        <v>207</v>
      </c>
      <c r="P5" s="2">
        <v>4</v>
      </c>
      <c r="Q5" s="2" t="s">
        <v>1</v>
      </c>
      <c r="R5" s="2">
        <v>7</v>
      </c>
      <c r="S5" s="2" t="s">
        <v>38</v>
      </c>
      <c r="U5" s="1" t="s">
        <v>207</v>
      </c>
      <c r="V5" s="2" t="s">
        <v>6</v>
      </c>
      <c r="W5" s="2" t="s">
        <v>1</v>
      </c>
      <c r="X5" s="2">
        <v>7</v>
      </c>
      <c r="Y5" s="2" t="s">
        <v>38</v>
      </c>
      <c r="AA5" t="s">
        <v>4</v>
      </c>
    </row>
    <row r="6" spans="1:27" x14ac:dyDescent="0.25">
      <c r="C6" s="1" t="s">
        <v>208</v>
      </c>
      <c r="D6" s="2" t="s">
        <v>216</v>
      </c>
      <c r="E6" s="2" t="s">
        <v>33</v>
      </c>
      <c r="F6" s="2" t="s">
        <v>219</v>
      </c>
      <c r="G6" s="2" t="s">
        <v>2</v>
      </c>
      <c r="I6" s="1" t="s">
        <v>208</v>
      </c>
      <c r="J6" s="2" t="s">
        <v>216</v>
      </c>
      <c r="K6" s="2" t="s">
        <v>33</v>
      </c>
      <c r="L6" s="2" t="s">
        <v>219</v>
      </c>
      <c r="M6" s="2" t="s">
        <v>2</v>
      </c>
      <c r="O6" s="1" t="s">
        <v>208</v>
      </c>
      <c r="P6" s="2" t="s">
        <v>216</v>
      </c>
      <c r="Q6" s="2" t="s">
        <v>1</v>
      </c>
      <c r="R6" s="2" t="s">
        <v>219</v>
      </c>
      <c r="S6" s="2" t="s">
        <v>38</v>
      </c>
      <c r="U6" s="1" t="s">
        <v>208</v>
      </c>
      <c r="V6" s="2" t="s">
        <v>6</v>
      </c>
      <c r="W6" s="2" t="s">
        <v>1</v>
      </c>
      <c r="X6" s="2" t="s">
        <v>219</v>
      </c>
      <c r="Y6" s="2" t="s">
        <v>38</v>
      </c>
      <c r="AA6" t="s">
        <v>5</v>
      </c>
    </row>
    <row r="7" spans="1:27" x14ac:dyDescent="0.25">
      <c r="C7" s="1" t="s">
        <v>209</v>
      </c>
      <c r="D7" s="2" t="s">
        <v>35</v>
      </c>
      <c r="E7" s="2" t="s">
        <v>33</v>
      </c>
      <c r="F7" s="2" t="s">
        <v>215</v>
      </c>
      <c r="G7" s="2" t="s">
        <v>2</v>
      </c>
      <c r="I7" s="1" t="s">
        <v>209</v>
      </c>
      <c r="J7" s="2" t="s">
        <v>13</v>
      </c>
      <c r="K7" s="2" t="s">
        <v>33</v>
      </c>
      <c r="L7" s="2" t="s">
        <v>215</v>
      </c>
      <c r="M7" s="2" t="s">
        <v>214</v>
      </c>
      <c r="O7" s="1" t="s">
        <v>209</v>
      </c>
      <c r="P7" s="2" t="s">
        <v>43</v>
      </c>
      <c r="Q7" s="2" t="s">
        <v>1</v>
      </c>
      <c r="R7" s="2" t="s">
        <v>215</v>
      </c>
      <c r="S7" s="2" t="s">
        <v>38</v>
      </c>
      <c r="U7" s="1" t="s">
        <v>209</v>
      </c>
      <c r="V7" s="2" t="s">
        <v>37</v>
      </c>
      <c r="W7" s="2" t="s">
        <v>1</v>
      </c>
      <c r="X7" s="2" t="s">
        <v>215</v>
      </c>
      <c r="Y7" s="2" t="s">
        <v>38</v>
      </c>
      <c r="AA7" t="s">
        <v>6</v>
      </c>
    </row>
    <row r="8" spans="1:27" x14ac:dyDescent="0.25">
      <c r="AA8" t="s">
        <v>7</v>
      </c>
    </row>
    <row r="9" spans="1:27" x14ac:dyDescent="0.25">
      <c r="C9" s="1" t="s">
        <v>221</v>
      </c>
      <c r="D9" s="1" t="s">
        <v>210</v>
      </c>
      <c r="E9" s="1" t="s">
        <v>211</v>
      </c>
      <c r="F9" s="1" t="s">
        <v>212</v>
      </c>
      <c r="G9" s="1" t="s">
        <v>213</v>
      </c>
      <c r="I9" s="1" t="s">
        <v>233</v>
      </c>
      <c r="J9" s="1" t="s">
        <v>210</v>
      </c>
      <c r="K9" s="1" t="s">
        <v>211</v>
      </c>
      <c r="L9" s="1" t="s">
        <v>212</v>
      </c>
      <c r="M9" s="1" t="s">
        <v>213</v>
      </c>
      <c r="O9" s="1" t="s">
        <v>230</v>
      </c>
      <c r="P9" s="1" t="s">
        <v>210</v>
      </c>
      <c r="Q9" s="1" t="s">
        <v>211</v>
      </c>
      <c r="R9" s="1" t="s">
        <v>212</v>
      </c>
      <c r="S9" s="1" t="s">
        <v>213</v>
      </c>
      <c r="U9" s="1" t="s">
        <v>228</v>
      </c>
      <c r="V9" s="1" t="s">
        <v>210</v>
      </c>
      <c r="W9" s="1" t="s">
        <v>211</v>
      </c>
      <c r="X9" s="1" t="s">
        <v>212</v>
      </c>
      <c r="Y9" s="1" t="s">
        <v>213</v>
      </c>
      <c r="AA9" t="s">
        <v>8</v>
      </c>
    </row>
    <row r="10" spans="1:27" x14ac:dyDescent="0.25">
      <c r="C10" s="1" t="s">
        <v>206</v>
      </c>
      <c r="D10" s="2" t="s">
        <v>40</v>
      </c>
      <c r="E10" s="2" t="s">
        <v>23</v>
      </c>
      <c r="F10" s="2">
        <v>3</v>
      </c>
      <c r="G10" s="2">
        <v>2</v>
      </c>
      <c r="I10" s="1" t="s">
        <v>206</v>
      </c>
      <c r="J10" s="2" t="s">
        <v>11</v>
      </c>
      <c r="K10" s="2" t="s">
        <v>23</v>
      </c>
      <c r="L10" s="2">
        <v>3</v>
      </c>
      <c r="M10" s="2">
        <v>2</v>
      </c>
      <c r="O10" s="1" t="s">
        <v>206</v>
      </c>
      <c r="P10" s="2" t="s">
        <v>12</v>
      </c>
      <c r="Q10" s="2" t="s">
        <v>0</v>
      </c>
      <c r="R10" s="2">
        <v>3</v>
      </c>
      <c r="S10" s="2">
        <v>2</v>
      </c>
      <c r="U10" s="1" t="s">
        <v>206</v>
      </c>
      <c r="V10" s="2" t="s">
        <v>41</v>
      </c>
      <c r="W10" s="2" t="s">
        <v>0</v>
      </c>
      <c r="X10" s="2">
        <v>3</v>
      </c>
      <c r="Y10" s="2">
        <v>2</v>
      </c>
      <c r="AA10" t="s">
        <v>9</v>
      </c>
    </row>
    <row r="11" spans="1:27" x14ac:dyDescent="0.25">
      <c r="A11" s="1" t="s">
        <v>207</v>
      </c>
      <c r="C11" s="1" t="s">
        <v>207</v>
      </c>
      <c r="D11" s="2">
        <v>4</v>
      </c>
      <c r="E11" s="2" t="s">
        <v>23</v>
      </c>
      <c r="F11" s="2">
        <v>7</v>
      </c>
      <c r="G11" s="2" t="s">
        <v>31</v>
      </c>
      <c r="I11" s="1" t="s">
        <v>207</v>
      </c>
      <c r="J11" s="2">
        <v>4</v>
      </c>
      <c r="K11" s="2" t="s">
        <v>23</v>
      </c>
      <c r="L11" s="2">
        <v>7</v>
      </c>
      <c r="M11" s="2" t="s">
        <v>31</v>
      </c>
      <c r="O11" s="1" t="s">
        <v>207</v>
      </c>
      <c r="P11" s="2">
        <v>4</v>
      </c>
      <c r="Q11" s="2" t="s">
        <v>0</v>
      </c>
      <c r="R11" s="2">
        <v>7</v>
      </c>
      <c r="S11" s="2">
        <v>6</v>
      </c>
      <c r="U11" s="1" t="s">
        <v>207</v>
      </c>
      <c r="V11" s="2">
        <v>4</v>
      </c>
      <c r="W11" s="2" t="s">
        <v>0</v>
      </c>
      <c r="X11" s="2">
        <v>7</v>
      </c>
      <c r="Y11" s="2">
        <v>6</v>
      </c>
      <c r="AA11" t="s">
        <v>10</v>
      </c>
    </row>
    <row r="12" spans="1:27" x14ac:dyDescent="0.25">
      <c r="C12" s="1" t="s">
        <v>208</v>
      </c>
      <c r="D12" s="2" t="s">
        <v>27</v>
      </c>
      <c r="E12" s="2" t="s">
        <v>23</v>
      </c>
      <c r="F12" s="2" t="s">
        <v>219</v>
      </c>
      <c r="G12" s="2" t="s">
        <v>31</v>
      </c>
      <c r="I12" s="1" t="s">
        <v>208</v>
      </c>
      <c r="J12" s="2" t="s">
        <v>216</v>
      </c>
      <c r="K12" s="2" t="s">
        <v>23</v>
      </c>
      <c r="L12" s="2" t="s">
        <v>219</v>
      </c>
      <c r="M12" s="2" t="s">
        <v>31</v>
      </c>
      <c r="O12" s="1" t="s">
        <v>208</v>
      </c>
      <c r="P12" s="2" t="s">
        <v>216</v>
      </c>
      <c r="Q12" s="2" t="s">
        <v>0</v>
      </c>
      <c r="R12" s="2" t="s">
        <v>219</v>
      </c>
      <c r="S12" s="2" t="s">
        <v>218</v>
      </c>
      <c r="U12" s="1" t="s">
        <v>208</v>
      </c>
      <c r="V12" s="2" t="s">
        <v>27</v>
      </c>
      <c r="W12" s="2" t="s">
        <v>0</v>
      </c>
      <c r="X12" s="2" t="s">
        <v>219</v>
      </c>
      <c r="Y12" s="2" t="s">
        <v>218</v>
      </c>
      <c r="AA12" t="s">
        <v>11</v>
      </c>
    </row>
    <row r="13" spans="1:27" x14ac:dyDescent="0.25">
      <c r="C13" s="1" t="s">
        <v>209</v>
      </c>
      <c r="D13" s="2" t="s">
        <v>34</v>
      </c>
      <c r="E13" s="2" t="s">
        <v>23</v>
      </c>
      <c r="F13" s="2" t="s">
        <v>215</v>
      </c>
      <c r="G13" s="2" t="s">
        <v>31</v>
      </c>
      <c r="I13" s="1" t="s">
        <v>209</v>
      </c>
      <c r="J13" s="2" t="s">
        <v>15</v>
      </c>
      <c r="K13" s="2" t="s">
        <v>23</v>
      </c>
      <c r="L13" s="2" t="s">
        <v>215</v>
      </c>
      <c r="M13" s="2" t="s">
        <v>214</v>
      </c>
      <c r="O13" s="1" t="s">
        <v>209</v>
      </c>
      <c r="P13" s="2" t="s">
        <v>45</v>
      </c>
      <c r="Q13" s="2" t="s">
        <v>0</v>
      </c>
      <c r="R13" s="2" t="s">
        <v>215</v>
      </c>
      <c r="S13" s="2" t="s">
        <v>214</v>
      </c>
      <c r="U13" s="1" t="s">
        <v>209</v>
      </c>
      <c r="V13" s="2" t="s">
        <v>36</v>
      </c>
      <c r="W13" s="2" t="s">
        <v>0</v>
      </c>
      <c r="X13" s="2" t="s">
        <v>215</v>
      </c>
      <c r="Y13" s="2" t="s">
        <v>214</v>
      </c>
      <c r="AA13" t="s">
        <v>12</v>
      </c>
    </row>
    <row r="14" spans="1:27" x14ac:dyDescent="0.25">
      <c r="AA14" t="s">
        <v>13</v>
      </c>
    </row>
    <row r="15" spans="1:27" x14ac:dyDescent="0.25">
      <c r="C15" s="1" t="s">
        <v>222</v>
      </c>
      <c r="D15" s="1" t="s">
        <v>210</v>
      </c>
      <c r="E15" s="1" t="s">
        <v>211</v>
      </c>
      <c r="F15" s="1" t="s">
        <v>212</v>
      </c>
      <c r="G15" s="1" t="s">
        <v>213</v>
      </c>
      <c r="I15" s="1" t="s">
        <v>232</v>
      </c>
      <c r="J15" s="1" t="s">
        <v>210</v>
      </c>
      <c r="K15" s="1" t="s">
        <v>211</v>
      </c>
      <c r="L15" s="1" t="s">
        <v>212</v>
      </c>
      <c r="M15" s="1" t="s">
        <v>213</v>
      </c>
      <c r="O15" s="1" t="s">
        <v>231</v>
      </c>
      <c r="P15" s="1" t="s">
        <v>210</v>
      </c>
      <c r="Q15" s="1" t="s">
        <v>211</v>
      </c>
      <c r="R15" s="1" t="s">
        <v>212</v>
      </c>
      <c r="S15" s="1" t="s">
        <v>213</v>
      </c>
      <c r="U15" s="1" t="s">
        <v>227</v>
      </c>
      <c r="V15" s="1" t="s">
        <v>210</v>
      </c>
      <c r="W15" s="1" t="s">
        <v>211</v>
      </c>
      <c r="X15" s="1" t="s">
        <v>212</v>
      </c>
      <c r="Y15" s="1" t="s">
        <v>213</v>
      </c>
      <c r="AA15" t="s">
        <v>14</v>
      </c>
    </row>
    <row r="16" spans="1:27" x14ac:dyDescent="0.25">
      <c r="C16" s="1" t="s">
        <v>206</v>
      </c>
      <c r="D16" s="2" t="s">
        <v>19</v>
      </c>
      <c r="E16" s="2" t="s">
        <v>17</v>
      </c>
      <c r="F16" s="2">
        <v>3</v>
      </c>
      <c r="G16" s="2">
        <v>2</v>
      </c>
      <c r="I16" s="1" t="s">
        <v>206</v>
      </c>
      <c r="J16" s="2" t="s">
        <v>8</v>
      </c>
      <c r="K16" s="2" t="s">
        <v>17</v>
      </c>
      <c r="L16" s="2">
        <v>3</v>
      </c>
      <c r="M16" s="2">
        <v>2</v>
      </c>
      <c r="O16" s="1" t="s">
        <v>206</v>
      </c>
      <c r="P16" s="2" t="s">
        <v>5</v>
      </c>
      <c r="Q16" s="2" t="s">
        <v>42</v>
      </c>
      <c r="R16" s="2">
        <v>3</v>
      </c>
      <c r="S16" s="2">
        <v>2</v>
      </c>
      <c r="U16" s="1" t="s">
        <v>206</v>
      </c>
      <c r="V16" s="2" t="s">
        <v>18</v>
      </c>
      <c r="W16" s="2" t="s">
        <v>42</v>
      </c>
      <c r="X16" s="2">
        <v>3</v>
      </c>
      <c r="Y16" s="2">
        <v>2</v>
      </c>
      <c r="AA16" t="s">
        <v>15</v>
      </c>
    </row>
    <row r="17" spans="1:27" x14ac:dyDescent="0.25">
      <c r="A17" s="1" t="s">
        <v>208</v>
      </c>
      <c r="C17" s="1" t="s">
        <v>207</v>
      </c>
      <c r="D17" s="2" t="s">
        <v>19</v>
      </c>
      <c r="E17" s="2" t="s">
        <v>17</v>
      </c>
      <c r="F17" s="2">
        <v>7</v>
      </c>
      <c r="G17" s="2" t="s">
        <v>20</v>
      </c>
      <c r="I17" s="1" t="s">
        <v>207</v>
      </c>
      <c r="J17" s="2">
        <v>4</v>
      </c>
      <c r="K17" s="2" t="s">
        <v>17</v>
      </c>
      <c r="L17" s="2">
        <v>7</v>
      </c>
      <c r="M17" s="2" t="s">
        <v>20</v>
      </c>
      <c r="O17" s="1" t="s">
        <v>207</v>
      </c>
      <c r="P17" s="2">
        <v>4</v>
      </c>
      <c r="Q17" s="2" t="s">
        <v>42</v>
      </c>
      <c r="R17" s="2">
        <v>7</v>
      </c>
      <c r="S17" s="2" t="s">
        <v>24</v>
      </c>
      <c r="U17" s="1" t="s">
        <v>207</v>
      </c>
      <c r="V17" s="2" t="s">
        <v>18</v>
      </c>
      <c r="W17" s="2" t="s">
        <v>42</v>
      </c>
      <c r="X17" s="2">
        <v>7</v>
      </c>
      <c r="Y17" s="2" t="s">
        <v>24</v>
      </c>
      <c r="AA17" t="s">
        <v>16</v>
      </c>
    </row>
    <row r="18" spans="1:27" x14ac:dyDescent="0.25">
      <c r="C18" s="1" t="s">
        <v>208</v>
      </c>
      <c r="D18" s="2" t="s">
        <v>19</v>
      </c>
      <c r="E18" s="2" t="s">
        <v>17</v>
      </c>
      <c r="F18" s="2" t="s">
        <v>219</v>
      </c>
      <c r="G18" s="2" t="s">
        <v>20</v>
      </c>
      <c r="I18" s="1" t="s">
        <v>208</v>
      </c>
      <c r="J18" s="2" t="s">
        <v>216</v>
      </c>
      <c r="K18" s="2" t="s">
        <v>17</v>
      </c>
      <c r="L18" s="2" t="s">
        <v>219</v>
      </c>
      <c r="M18" s="2" t="s">
        <v>20</v>
      </c>
      <c r="O18" s="1" t="s">
        <v>208</v>
      </c>
      <c r="P18" s="2" t="s">
        <v>216</v>
      </c>
      <c r="Q18" s="2" t="s">
        <v>42</v>
      </c>
      <c r="R18" s="2" t="s">
        <v>219</v>
      </c>
      <c r="S18" s="2" t="s">
        <v>24</v>
      </c>
      <c r="U18" s="1" t="s">
        <v>208</v>
      </c>
      <c r="V18" s="2" t="s">
        <v>18</v>
      </c>
      <c r="W18" s="2" t="s">
        <v>42</v>
      </c>
      <c r="X18" s="2" t="s">
        <v>219</v>
      </c>
      <c r="Y18" s="2" t="s">
        <v>24</v>
      </c>
      <c r="AA18" t="s">
        <v>17</v>
      </c>
    </row>
    <row r="19" spans="1:27" x14ac:dyDescent="0.25">
      <c r="C19" s="1" t="s">
        <v>209</v>
      </c>
      <c r="D19" s="2" t="s">
        <v>26</v>
      </c>
      <c r="E19" s="2" t="s">
        <v>17</v>
      </c>
      <c r="F19" s="2" t="s">
        <v>215</v>
      </c>
      <c r="G19" s="2" t="s">
        <v>21</v>
      </c>
      <c r="I19" s="1" t="s">
        <v>209</v>
      </c>
      <c r="J19" s="2" t="s">
        <v>14</v>
      </c>
      <c r="K19" s="2" t="s">
        <v>17</v>
      </c>
      <c r="L19" s="2" t="s">
        <v>215</v>
      </c>
      <c r="M19" s="2" t="s">
        <v>214</v>
      </c>
      <c r="O19" s="1" t="s">
        <v>209</v>
      </c>
      <c r="P19" s="2" t="s">
        <v>44</v>
      </c>
      <c r="Q19" s="2" t="s">
        <v>42</v>
      </c>
      <c r="R19" s="2" t="s">
        <v>215</v>
      </c>
      <c r="S19" s="2" t="s">
        <v>214</v>
      </c>
      <c r="U19" s="1" t="s">
        <v>209</v>
      </c>
      <c r="V19" s="2" t="s">
        <v>25</v>
      </c>
      <c r="W19" s="2" t="s">
        <v>42</v>
      </c>
      <c r="X19" s="2" t="s">
        <v>215</v>
      </c>
      <c r="Y19" s="2" t="s">
        <v>32</v>
      </c>
      <c r="AA19" t="s">
        <v>18</v>
      </c>
    </row>
    <row r="20" spans="1:27" x14ac:dyDescent="0.25">
      <c r="AA20" t="s">
        <v>19</v>
      </c>
    </row>
    <row r="21" spans="1:27" x14ac:dyDescent="0.25">
      <c r="C21" s="1" t="s">
        <v>223</v>
      </c>
      <c r="D21" s="1" t="s">
        <v>210</v>
      </c>
      <c r="E21" s="1" t="s">
        <v>211</v>
      </c>
      <c r="F21" s="1" t="s">
        <v>212</v>
      </c>
      <c r="G21" s="1" t="s">
        <v>213</v>
      </c>
      <c r="I21" s="1" t="s">
        <v>224</v>
      </c>
      <c r="J21" s="1" t="s">
        <v>210</v>
      </c>
      <c r="K21" s="1" t="s">
        <v>211</v>
      </c>
      <c r="L21" s="1" t="s">
        <v>212</v>
      </c>
      <c r="M21" s="1" t="s">
        <v>213</v>
      </c>
      <c r="O21" s="1" t="s">
        <v>225</v>
      </c>
      <c r="P21" s="1" t="s">
        <v>210</v>
      </c>
      <c r="Q21" s="1" t="s">
        <v>211</v>
      </c>
      <c r="R21" s="1" t="s">
        <v>212</v>
      </c>
      <c r="S21" s="1" t="s">
        <v>213</v>
      </c>
      <c r="U21" s="1" t="s">
        <v>226</v>
      </c>
      <c r="V21" s="1" t="s">
        <v>210</v>
      </c>
      <c r="W21" s="1" t="s">
        <v>211</v>
      </c>
      <c r="X21" s="1" t="s">
        <v>212</v>
      </c>
      <c r="Y21" s="1" t="s">
        <v>213</v>
      </c>
      <c r="AA21" t="s">
        <v>20</v>
      </c>
    </row>
    <row r="22" spans="1:27" x14ac:dyDescent="0.25">
      <c r="C22" s="1" t="s">
        <v>206</v>
      </c>
      <c r="D22" s="2">
        <v>0</v>
      </c>
      <c r="E22" s="2" t="s">
        <v>46</v>
      </c>
      <c r="F22" s="2">
        <v>3</v>
      </c>
      <c r="G22" s="2">
        <v>2</v>
      </c>
      <c r="I22" s="1" t="s">
        <v>206</v>
      </c>
      <c r="J22" s="2" t="s">
        <v>3</v>
      </c>
      <c r="K22" s="2" t="s">
        <v>46</v>
      </c>
      <c r="L22" s="2">
        <v>3</v>
      </c>
      <c r="M22" s="2">
        <v>2</v>
      </c>
      <c r="O22" s="1" t="s">
        <v>206</v>
      </c>
      <c r="P22" s="2" t="s">
        <v>4</v>
      </c>
      <c r="Q22" s="2" t="s">
        <v>28</v>
      </c>
      <c r="R22" s="2">
        <v>3</v>
      </c>
      <c r="S22" s="2">
        <v>2</v>
      </c>
      <c r="U22" s="1" t="s">
        <v>206</v>
      </c>
      <c r="V22" s="2" t="s">
        <v>30</v>
      </c>
      <c r="W22" s="2" t="s">
        <v>28</v>
      </c>
      <c r="X22" s="2">
        <v>3</v>
      </c>
      <c r="Y22" s="2" t="s">
        <v>29</v>
      </c>
      <c r="AA22" t="s">
        <v>21</v>
      </c>
    </row>
    <row r="23" spans="1:27" x14ac:dyDescent="0.25">
      <c r="A23" s="1" t="s">
        <v>209</v>
      </c>
      <c r="C23" s="1" t="s">
        <v>207</v>
      </c>
      <c r="D23" s="2" t="s">
        <v>48</v>
      </c>
      <c r="E23" s="2" t="s">
        <v>46</v>
      </c>
      <c r="F23" s="2">
        <v>7</v>
      </c>
      <c r="G23" s="2" t="s">
        <v>47</v>
      </c>
      <c r="I23" s="1" t="s">
        <v>207</v>
      </c>
      <c r="J23" s="2" t="s">
        <v>48</v>
      </c>
      <c r="K23" s="2" t="s">
        <v>46</v>
      </c>
      <c r="L23" s="2">
        <v>7</v>
      </c>
      <c r="M23" s="2" t="s">
        <v>47</v>
      </c>
      <c r="O23" s="1" t="s">
        <v>207</v>
      </c>
      <c r="P23" s="2" t="s">
        <v>30</v>
      </c>
      <c r="Q23" s="2" t="s">
        <v>28</v>
      </c>
      <c r="R23" s="2">
        <v>7</v>
      </c>
      <c r="S23" s="2" t="s">
        <v>29</v>
      </c>
      <c r="U23" s="1" t="s">
        <v>207</v>
      </c>
      <c r="V23" s="2" t="s">
        <v>30</v>
      </c>
      <c r="W23" s="2" t="s">
        <v>28</v>
      </c>
      <c r="X23" s="2">
        <v>7</v>
      </c>
      <c r="Y23" s="2" t="s">
        <v>29</v>
      </c>
      <c r="AA23" t="s">
        <v>22</v>
      </c>
    </row>
    <row r="24" spans="1:27" x14ac:dyDescent="0.25">
      <c r="C24" s="1" t="s">
        <v>208</v>
      </c>
      <c r="D24" s="2" t="s">
        <v>48</v>
      </c>
      <c r="E24" s="2" t="s">
        <v>46</v>
      </c>
      <c r="F24" s="2" t="s">
        <v>219</v>
      </c>
      <c r="G24" s="2" t="s">
        <v>47</v>
      </c>
      <c r="I24" s="1" t="s">
        <v>208</v>
      </c>
      <c r="J24" s="2" t="s">
        <v>216</v>
      </c>
      <c r="K24" s="2" t="s">
        <v>46</v>
      </c>
      <c r="L24" s="2" t="s">
        <v>219</v>
      </c>
      <c r="M24" s="2" t="s">
        <v>218</v>
      </c>
      <c r="O24" s="1" t="s">
        <v>208</v>
      </c>
      <c r="P24" s="2" t="s">
        <v>30</v>
      </c>
      <c r="Q24" s="2" t="s">
        <v>28</v>
      </c>
      <c r="R24" s="2" t="s">
        <v>219</v>
      </c>
      <c r="S24" s="2" t="s">
        <v>29</v>
      </c>
      <c r="U24" s="1" t="s">
        <v>208</v>
      </c>
      <c r="V24" s="2" t="s">
        <v>30</v>
      </c>
      <c r="W24" s="2" t="s">
        <v>28</v>
      </c>
      <c r="X24" s="2" t="s">
        <v>219</v>
      </c>
      <c r="Y24" s="2" t="s">
        <v>29</v>
      </c>
      <c r="AA24" t="s">
        <v>23</v>
      </c>
    </row>
    <row r="25" spans="1:27" x14ac:dyDescent="0.25">
      <c r="C25" s="1" t="s">
        <v>209</v>
      </c>
      <c r="D25" s="2" t="s">
        <v>22</v>
      </c>
      <c r="E25" s="2" t="s">
        <v>46</v>
      </c>
      <c r="F25" s="2" t="s">
        <v>215</v>
      </c>
      <c r="G25" s="2" t="s">
        <v>52</v>
      </c>
      <c r="I25" s="1" t="s">
        <v>209</v>
      </c>
      <c r="J25" s="2" t="s">
        <v>54</v>
      </c>
      <c r="K25" s="2" t="s">
        <v>46</v>
      </c>
      <c r="L25" s="2" t="s">
        <v>215</v>
      </c>
      <c r="M25" s="2" t="s">
        <v>53</v>
      </c>
      <c r="O25" s="1" t="s">
        <v>209</v>
      </c>
      <c r="P25" s="2" t="s">
        <v>16</v>
      </c>
      <c r="Q25" s="2" t="s">
        <v>28</v>
      </c>
      <c r="R25" s="2" t="s">
        <v>215</v>
      </c>
      <c r="S25" s="2" t="s">
        <v>51</v>
      </c>
      <c r="U25" s="1" t="s">
        <v>209</v>
      </c>
      <c r="V25" s="2" t="s">
        <v>50</v>
      </c>
      <c r="W25" s="2" t="s">
        <v>28</v>
      </c>
      <c r="X25" s="2" t="s">
        <v>215</v>
      </c>
      <c r="Y25" s="2" t="s">
        <v>49</v>
      </c>
      <c r="AA25" t="s">
        <v>24</v>
      </c>
    </row>
    <row r="26" spans="1:27" x14ac:dyDescent="0.25">
      <c r="AA26" t="s">
        <v>25</v>
      </c>
    </row>
    <row r="27" spans="1:27" x14ac:dyDescent="0.25">
      <c r="AA27" t="s">
        <v>26</v>
      </c>
    </row>
    <row r="28" spans="1:27" x14ac:dyDescent="0.25">
      <c r="AA28" t="s">
        <v>27</v>
      </c>
    </row>
    <row r="29" spans="1:27" x14ac:dyDescent="0.25">
      <c r="B29" s="2">
        <v>0</v>
      </c>
      <c r="C29" s="2">
        <v>1</v>
      </c>
      <c r="D29" s="2">
        <v>3</v>
      </c>
      <c r="E29" s="2">
        <v>2</v>
      </c>
      <c r="G29" t="s">
        <v>237</v>
      </c>
      <c r="AA29" t="s">
        <v>57</v>
      </c>
    </row>
    <row r="30" spans="1:27" x14ac:dyDescent="0.25">
      <c r="B30" s="2">
        <v>4</v>
      </c>
      <c r="C30" s="2">
        <v>5</v>
      </c>
      <c r="D30" s="2">
        <v>7</v>
      </c>
      <c r="E30" s="2">
        <v>6</v>
      </c>
      <c r="G30" t="s">
        <v>2</v>
      </c>
      <c r="S30" t="s">
        <v>235</v>
      </c>
      <c r="Y30" t="s">
        <v>236</v>
      </c>
      <c r="AA30" t="s">
        <v>28</v>
      </c>
    </row>
    <row r="31" spans="1:27" x14ac:dyDescent="0.25">
      <c r="B31" s="2" t="s">
        <v>216</v>
      </c>
      <c r="C31" s="2" t="s">
        <v>217</v>
      </c>
      <c r="D31" s="2" t="s">
        <v>219</v>
      </c>
      <c r="E31" s="2" t="s">
        <v>218</v>
      </c>
      <c r="AA31" t="s">
        <v>29</v>
      </c>
    </row>
    <row r="32" spans="1:27" x14ac:dyDescent="0.25">
      <c r="B32" s="2">
        <v>8</v>
      </c>
      <c r="C32" s="2">
        <v>9</v>
      </c>
      <c r="D32" s="2" t="s">
        <v>215</v>
      </c>
      <c r="E32" s="2" t="s">
        <v>214</v>
      </c>
      <c r="AA32" t="s">
        <v>30</v>
      </c>
    </row>
    <row r="33" spans="27:27" customFormat="1" x14ac:dyDescent="0.25">
      <c r="AA33" t="s">
        <v>31</v>
      </c>
    </row>
    <row r="34" spans="27:27" customFormat="1" x14ac:dyDescent="0.25">
      <c r="AA34" t="s">
        <v>32</v>
      </c>
    </row>
    <row r="35" spans="27:27" customFormat="1" x14ac:dyDescent="0.25">
      <c r="AA35" t="s">
        <v>33</v>
      </c>
    </row>
    <row r="36" spans="27:27" customFormat="1" x14ac:dyDescent="0.25">
      <c r="AA36" t="s">
        <v>34</v>
      </c>
    </row>
    <row r="37" spans="27:27" customFormat="1" x14ac:dyDescent="0.25">
      <c r="AA37" t="s">
        <v>35</v>
      </c>
    </row>
    <row r="38" spans="27:27" customFormat="1" x14ac:dyDescent="0.25">
      <c r="AA38" t="s">
        <v>36</v>
      </c>
    </row>
    <row r="39" spans="27:27" customFormat="1" x14ac:dyDescent="0.25">
      <c r="AA39" t="s">
        <v>37</v>
      </c>
    </row>
    <row r="40" spans="27:27" customFormat="1" x14ac:dyDescent="0.25">
      <c r="AA40" t="s">
        <v>38</v>
      </c>
    </row>
    <row r="41" spans="27:27" customFormat="1" x14ac:dyDescent="0.25">
      <c r="AA41" t="s">
        <v>39</v>
      </c>
    </row>
    <row r="42" spans="27:27" customFormat="1" x14ac:dyDescent="0.25">
      <c r="AA42" t="s">
        <v>40</v>
      </c>
    </row>
    <row r="43" spans="27:27" customFormat="1" x14ac:dyDescent="0.25">
      <c r="AA43" t="s">
        <v>41</v>
      </c>
    </row>
    <row r="44" spans="27:27" customFormat="1" x14ac:dyDescent="0.25">
      <c r="AA44" t="s">
        <v>42</v>
      </c>
    </row>
    <row r="45" spans="27:27" customFormat="1" x14ac:dyDescent="0.25">
      <c r="AA45" t="s">
        <v>43</v>
      </c>
    </row>
    <row r="46" spans="27:27" customFormat="1" x14ac:dyDescent="0.25">
      <c r="AA46" t="s">
        <v>44</v>
      </c>
    </row>
    <row r="47" spans="27:27" customFormat="1" x14ac:dyDescent="0.25">
      <c r="AA47" t="s">
        <v>45</v>
      </c>
    </row>
    <row r="48" spans="27:27" customFormat="1" x14ac:dyDescent="0.25">
      <c r="AA48" t="s">
        <v>46</v>
      </c>
    </row>
    <row r="49" spans="27:27" customFormat="1" x14ac:dyDescent="0.25">
      <c r="AA49" t="s">
        <v>47</v>
      </c>
    </row>
    <row r="50" spans="27:27" customFormat="1" x14ac:dyDescent="0.25">
      <c r="AA50" t="s">
        <v>48</v>
      </c>
    </row>
    <row r="51" spans="27:27" customFormat="1" x14ac:dyDescent="0.25">
      <c r="AA51" t="s">
        <v>49</v>
      </c>
    </row>
    <row r="52" spans="27:27" customFormat="1" x14ac:dyDescent="0.25">
      <c r="AA52" t="s">
        <v>50</v>
      </c>
    </row>
    <row r="53" spans="27:27" customFormat="1" x14ac:dyDescent="0.25">
      <c r="AA53" t="s">
        <v>51</v>
      </c>
    </row>
    <row r="54" spans="27:27" customFormat="1" x14ac:dyDescent="0.25">
      <c r="AA54" t="s">
        <v>52</v>
      </c>
    </row>
    <row r="55" spans="27:27" customFormat="1" x14ac:dyDescent="0.25">
      <c r="AA55" t="s">
        <v>53</v>
      </c>
    </row>
    <row r="56" spans="27:27" customFormat="1" x14ac:dyDescent="0.25">
      <c r="AA56" t="s">
        <v>54</v>
      </c>
    </row>
  </sheetData>
  <conditionalFormatting sqref="C3:Y25">
    <cfRule type="cellIs" dxfId="1" priority="1" operator="equal">
      <formula>$G$30</formula>
    </cfRule>
  </conditionalFormatting>
  <dataValidations count="1">
    <dataValidation type="list" allowBlank="1" showInputMessage="1" showErrorMessage="1" sqref="G30">
      <formula1>$AA$1:$AA$56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56"/>
  <sheetViews>
    <sheetView workbookViewId="0">
      <selection activeCell="M6" sqref="M6"/>
    </sheetView>
  </sheetViews>
  <sheetFormatPr defaultRowHeight="15" x14ac:dyDescent="0.25"/>
  <cols>
    <col min="1" max="1" width="9.140625" style="1"/>
  </cols>
  <sheetData>
    <row r="1" spans="1:27" s="1" customFormat="1" x14ac:dyDescent="0.25">
      <c r="A1" s="1" t="s">
        <v>238</v>
      </c>
      <c r="D1" s="1" t="s">
        <v>210</v>
      </c>
      <c r="J1" s="1" t="s">
        <v>211</v>
      </c>
      <c r="P1" s="1" t="s">
        <v>212</v>
      </c>
      <c r="V1" s="1" t="s">
        <v>213</v>
      </c>
      <c r="AA1" t="s">
        <v>0</v>
      </c>
    </row>
    <row r="2" spans="1:27" x14ac:dyDescent="0.25">
      <c r="AA2" t="s">
        <v>1</v>
      </c>
    </row>
    <row r="3" spans="1:27" x14ac:dyDescent="0.25">
      <c r="C3" s="1" t="s">
        <v>220</v>
      </c>
      <c r="D3" s="1" t="s">
        <v>210</v>
      </c>
      <c r="E3" s="1" t="s">
        <v>211</v>
      </c>
      <c r="F3" s="1" t="s">
        <v>212</v>
      </c>
      <c r="G3" s="1" t="s">
        <v>213</v>
      </c>
      <c r="I3" s="1" t="s">
        <v>234</v>
      </c>
      <c r="J3" s="1" t="s">
        <v>210</v>
      </c>
      <c r="K3" s="1" t="s">
        <v>211</v>
      </c>
      <c r="L3" s="1" t="s">
        <v>212</v>
      </c>
      <c r="M3" s="1" t="s">
        <v>213</v>
      </c>
      <c r="O3" s="1" t="s">
        <v>229</v>
      </c>
      <c r="P3" s="1" t="s">
        <v>210</v>
      </c>
      <c r="Q3" s="1" t="s">
        <v>211</v>
      </c>
      <c r="R3" s="1" t="s">
        <v>212</v>
      </c>
      <c r="S3" s="1" t="s">
        <v>213</v>
      </c>
      <c r="U3" s="1" t="s">
        <v>72</v>
      </c>
      <c r="V3" s="1" t="s">
        <v>210</v>
      </c>
      <c r="W3" s="1" t="s">
        <v>211</v>
      </c>
      <c r="X3" s="1" t="s">
        <v>212</v>
      </c>
      <c r="Y3" s="1" t="s">
        <v>213</v>
      </c>
      <c r="AA3" t="s">
        <v>2</v>
      </c>
    </row>
    <row r="4" spans="1:27" x14ac:dyDescent="0.25">
      <c r="C4" s="1" t="s">
        <v>206</v>
      </c>
      <c r="D4" s="2" t="s">
        <v>10</v>
      </c>
      <c r="E4" s="2" t="s">
        <v>33</v>
      </c>
      <c r="F4" s="2">
        <v>3</v>
      </c>
      <c r="G4" s="2">
        <v>2</v>
      </c>
      <c r="I4" s="1" t="s">
        <v>206</v>
      </c>
      <c r="J4" s="2" t="s">
        <v>9</v>
      </c>
      <c r="K4" s="2" t="s">
        <v>33</v>
      </c>
      <c r="L4" s="2">
        <v>3</v>
      </c>
      <c r="M4" s="2">
        <v>2</v>
      </c>
      <c r="O4" s="1" t="s">
        <v>206</v>
      </c>
      <c r="P4" s="2" t="s">
        <v>7</v>
      </c>
      <c r="Q4" s="2" t="s">
        <v>1</v>
      </c>
      <c r="R4" s="2">
        <v>3</v>
      </c>
      <c r="S4" s="2">
        <v>2</v>
      </c>
      <c r="U4" s="1" t="s">
        <v>206</v>
      </c>
      <c r="V4" s="2" t="s">
        <v>57</v>
      </c>
      <c r="W4" s="2" t="s">
        <v>1</v>
      </c>
      <c r="X4" s="2">
        <v>3</v>
      </c>
      <c r="Y4" s="2">
        <v>2</v>
      </c>
      <c r="AA4" t="s">
        <v>3</v>
      </c>
    </row>
    <row r="5" spans="1:27" x14ac:dyDescent="0.25">
      <c r="A5" s="1" t="s">
        <v>206</v>
      </c>
      <c r="C5" s="1" t="s">
        <v>207</v>
      </c>
      <c r="D5" s="2">
        <v>4</v>
      </c>
      <c r="E5" s="2" t="s">
        <v>33</v>
      </c>
      <c r="F5" s="2">
        <v>7</v>
      </c>
      <c r="G5" s="2" t="s">
        <v>2</v>
      </c>
      <c r="I5" s="1" t="s">
        <v>207</v>
      </c>
      <c r="J5" s="2">
        <v>4</v>
      </c>
      <c r="K5" s="2" t="s">
        <v>33</v>
      </c>
      <c r="L5" s="2">
        <v>7</v>
      </c>
      <c r="M5" s="2">
        <v>6</v>
      </c>
      <c r="O5" s="1" t="s">
        <v>207</v>
      </c>
      <c r="P5" s="2">
        <v>4</v>
      </c>
      <c r="Q5" s="2" t="s">
        <v>1</v>
      </c>
      <c r="R5" s="2">
        <v>7</v>
      </c>
      <c r="S5" s="2" t="s">
        <v>38</v>
      </c>
      <c r="U5" s="1" t="s">
        <v>207</v>
      </c>
      <c r="V5" s="2" t="s">
        <v>6</v>
      </c>
      <c r="W5" s="2" t="s">
        <v>1</v>
      </c>
      <c r="X5" s="2">
        <v>7</v>
      </c>
      <c r="Y5" s="2" t="s">
        <v>38</v>
      </c>
      <c r="AA5" t="s">
        <v>4</v>
      </c>
    </row>
    <row r="6" spans="1:27" x14ac:dyDescent="0.25">
      <c r="C6" s="1" t="s">
        <v>208</v>
      </c>
      <c r="D6" s="2" t="s">
        <v>216</v>
      </c>
      <c r="E6" s="2" t="s">
        <v>33</v>
      </c>
      <c r="F6" s="2" t="s">
        <v>219</v>
      </c>
      <c r="G6" s="2" t="s">
        <v>2</v>
      </c>
      <c r="I6" s="1" t="s">
        <v>208</v>
      </c>
      <c r="J6" s="2" t="s">
        <v>216</v>
      </c>
      <c r="K6" s="2" t="s">
        <v>33</v>
      </c>
      <c r="L6" s="2" t="s">
        <v>219</v>
      </c>
      <c r="M6" s="2" t="s">
        <v>218</v>
      </c>
      <c r="O6" s="1" t="s">
        <v>208</v>
      </c>
      <c r="P6" s="2" t="s">
        <v>216</v>
      </c>
      <c r="Q6" s="2" t="s">
        <v>1</v>
      </c>
      <c r="R6" s="2" t="s">
        <v>219</v>
      </c>
      <c r="S6" s="2" t="s">
        <v>38</v>
      </c>
      <c r="U6" s="1" t="s">
        <v>208</v>
      </c>
      <c r="V6" s="2" t="s">
        <v>6</v>
      </c>
      <c r="W6" s="2" t="s">
        <v>1</v>
      </c>
      <c r="X6" s="2" t="s">
        <v>219</v>
      </c>
      <c r="Y6" s="2" t="s">
        <v>38</v>
      </c>
      <c r="AA6" t="s">
        <v>5</v>
      </c>
    </row>
    <row r="7" spans="1:27" x14ac:dyDescent="0.25">
      <c r="C7" s="1" t="s">
        <v>209</v>
      </c>
      <c r="D7" s="2" t="s">
        <v>35</v>
      </c>
      <c r="E7" s="2" t="s">
        <v>33</v>
      </c>
      <c r="F7" s="2" t="s">
        <v>215</v>
      </c>
      <c r="G7" s="2" t="s">
        <v>2</v>
      </c>
      <c r="I7" s="1" t="s">
        <v>209</v>
      </c>
      <c r="J7" s="2" t="s">
        <v>13</v>
      </c>
      <c r="K7" s="2" t="s">
        <v>33</v>
      </c>
      <c r="L7" s="2" t="s">
        <v>215</v>
      </c>
      <c r="M7" s="2" t="s">
        <v>214</v>
      </c>
      <c r="O7" s="1" t="s">
        <v>209</v>
      </c>
      <c r="P7" s="2" t="s">
        <v>43</v>
      </c>
      <c r="Q7" s="2" t="s">
        <v>1</v>
      </c>
      <c r="R7" s="2" t="s">
        <v>215</v>
      </c>
      <c r="S7" s="2" t="s">
        <v>214</v>
      </c>
      <c r="U7" s="1" t="s">
        <v>209</v>
      </c>
      <c r="V7" s="2" t="s">
        <v>37</v>
      </c>
      <c r="W7" s="2" t="s">
        <v>1</v>
      </c>
      <c r="X7" s="2" t="s">
        <v>215</v>
      </c>
      <c r="Y7" s="2" t="s">
        <v>38</v>
      </c>
      <c r="AA7" t="s">
        <v>6</v>
      </c>
    </row>
    <row r="8" spans="1:27" x14ac:dyDescent="0.25">
      <c r="AA8" t="s">
        <v>7</v>
      </c>
    </row>
    <row r="9" spans="1:27" x14ac:dyDescent="0.25">
      <c r="C9" s="1" t="s">
        <v>221</v>
      </c>
      <c r="D9" s="1" t="s">
        <v>210</v>
      </c>
      <c r="E9" s="1" t="s">
        <v>211</v>
      </c>
      <c r="F9" s="1" t="s">
        <v>212</v>
      </c>
      <c r="G9" s="1" t="s">
        <v>213</v>
      </c>
      <c r="I9" s="1" t="s">
        <v>233</v>
      </c>
      <c r="J9" s="1" t="s">
        <v>210</v>
      </c>
      <c r="K9" s="1" t="s">
        <v>211</v>
      </c>
      <c r="L9" s="1" t="s">
        <v>212</v>
      </c>
      <c r="M9" s="1" t="s">
        <v>213</v>
      </c>
      <c r="O9" s="1" t="s">
        <v>230</v>
      </c>
      <c r="P9" s="1" t="s">
        <v>210</v>
      </c>
      <c r="Q9" s="1" t="s">
        <v>211</v>
      </c>
      <c r="R9" s="1" t="s">
        <v>212</v>
      </c>
      <c r="S9" s="1" t="s">
        <v>213</v>
      </c>
      <c r="U9" s="1" t="s">
        <v>228</v>
      </c>
      <c r="V9" s="1" t="s">
        <v>210</v>
      </c>
      <c r="W9" s="1" t="s">
        <v>211</v>
      </c>
      <c r="X9" s="1" t="s">
        <v>212</v>
      </c>
      <c r="Y9" s="1" t="s">
        <v>213</v>
      </c>
      <c r="AA9" t="s">
        <v>8</v>
      </c>
    </row>
    <row r="10" spans="1:27" x14ac:dyDescent="0.25">
      <c r="C10" s="1" t="s">
        <v>206</v>
      </c>
      <c r="D10" s="2" t="s">
        <v>40</v>
      </c>
      <c r="E10" s="2" t="s">
        <v>23</v>
      </c>
      <c r="F10" s="2">
        <v>3</v>
      </c>
      <c r="G10" s="2">
        <v>2</v>
      </c>
      <c r="I10" s="1" t="s">
        <v>206</v>
      </c>
      <c r="J10" s="2" t="s">
        <v>11</v>
      </c>
      <c r="K10" s="2" t="s">
        <v>23</v>
      </c>
      <c r="L10" s="2">
        <v>3</v>
      </c>
      <c r="M10" s="2">
        <v>2</v>
      </c>
      <c r="O10" s="1" t="s">
        <v>206</v>
      </c>
      <c r="P10" s="2" t="s">
        <v>12</v>
      </c>
      <c r="Q10" s="2" t="s">
        <v>0</v>
      </c>
      <c r="R10" s="2">
        <v>3</v>
      </c>
      <c r="S10" s="2">
        <v>2</v>
      </c>
      <c r="U10" s="1" t="s">
        <v>206</v>
      </c>
      <c r="V10" s="2" t="s">
        <v>41</v>
      </c>
      <c r="W10" s="2" t="s">
        <v>0</v>
      </c>
      <c r="X10" s="2">
        <v>3</v>
      </c>
      <c r="Y10" s="2">
        <v>2</v>
      </c>
      <c r="AA10" t="s">
        <v>9</v>
      </c>
    </row>
    <row r="11" spans="1:27" x14ac:dyDescent="0.25">
      <c r="A11" s="1" t="s">
        <v>207</v>
      </c>
      <c r="C11" s="1" t="s">
        <v>207</v>
      </c>
      <c r="D11" s="2">
        <v>4</v>
      </c>
      <c r="E11" s="2" t="s">
        <v>23</v>
      </c>
      <c r="F11" s="2">
        <v>7</v>
      </c>
      <c r="G11" s="2" t="s">
        <v>31</v>
      </c>
      <c r="I11" s="1" t="s">
        <v>207</v>
      </c>
      <c r="J11" s="2">
        <v>4</v>
      </c>
      <c r="K11" s="2" t="s">
        <v>23</v>
      </c>
      <c r="L11" s="2">
        <v>7</v>
      </c>
      <c r="M11" s="2" t="s">
        <v>31</v>
      </c>
      <c r="O11" s="1" t="s">
        <v>207</v>
      </c>
      <c r="P11" s="2">
        <v>4</v>
      </c>
      <c r="Q11" s="2" t="s">
        <v>0</v>
      </c>
      <c r="R11" s="2">
        <v>7</v>
      </c>
      <c r="S11" s="2" t="s">
        <v>39</v>
      </c>
      <c r="U11" s="1" t="s">
        <v>207</v>
      </c>
      <c r="V11" s="2">
        <v>4</v>
      </c>
      <c r="W11" s="2" t="s">
        <v>0</v>
      </c>
      <c r="X11" s="2">
        <v>7</v>
      </c>
      <c r="Y11" s="2" t="s">
        <v>39</v>
      </c>
      <c r="AA11" t="s">
        <v>10</v>
      </c>
    </row>
    <row r="12" spans="1:27" x14ac:dyDescent="0.25">
      <c r="C12" s="1" t="s">
        <v>208</v>
      </c>
      <c r="D12" s="2" t="s">
        <v>27</v>
      </c>
      <c r="E12" s="2" t="s">
        <v>23</v>
      </c>
      <c r="F12" s="2" t="s">
        <v>219</v>
      </c>
      <c r="G12" s="2" t="s">
        <v>31</v>
      </c>
      <c r="I12" s="1" t="s">
        <v>208</v>
      </c>
      <c r="J12" s="2" t="s">
        <v>216</v>
      </c>
      <c r="K12" s="2" t="s">
        <v>23</v>
      </c>
      <c r="L12" s="2" t="s">
        <v>219</v>
      </c>
      <c r="M12" s="2" t="s">
        <v>31</v>
      </c>
      <c r="O12" s="1" t="s">
        <v>208</v>
      </c>
      <c r="P12" s="2" t="s">
        <v>216</v>
      </c>
      <c r="Q12" s="2" t="s">
        <v>0</v>
      </c>
      <c r="R12" s="2" t="s">
        <v>219</v>
      </c>
      <c r="S12" s="2" t="s">
        <v>39</v>
      </c>
      <c r="U12" s="1" t="s">
        <v>208</v>
      </c>
      <c r="V12" s="2" t="s">
        <v>27</v>
      </c>
      <c r="W12" s="2" t="s">
        <v>0</v>
      </c>
      <c r="X12" s="2" t="s">
        <v>219</v>
      </c>
      <c r="Y12" s="2" t="s">
        <v>39</v>
      </c>
      <c r="AA12" t="s">
        <v>11</v>
      </c>
    </row>
    <row r="13" spans="1:27" x14ac:dyDescent="0.25">
      <c r="C13" s="1" t="s">
        <v>209</v>
      </c>
      <c r="D13" s="2" t="s">
        <v>34</v>
      </c>
      <c r="E13" s="2" t="s">
        <v>23</v>
      </c>
      <c r="F13" s="2" t="s">
        <v>215</v>
      </c>
      <c r="G13" s="2" t="s">
        <v>31</v>
      </c>
      <c r="I13" s="1" t="s">
        <v>209</v>
      </c>
      <c r="J13" s="2" t="s">
        <v>15</v>
      </c>
      <c r="K13" s="2" t="s">
        <v>23</v>
      </c>
      <c r="L13" s="2" t="s">
        <v>215</v>
      </c>
      <c r="M13" s="2" t="s">
        <v>214</v>
      </c>
      <c r="O13" s="1" t="s">
        <v>209</v>
      </c>
      <c r="P13" s="2" t="s">
        <v>45</v>
      </c>
      <c r="Q13" s="2" t="s">
        <v>0</v>
      </c>
      <c r="R13" s="2" t="s">
        <v>215</v>
      </c>
      <c r="S13" s="2" t="s">
        <v>214</v>
      </c>
      <c r="U13" s="1" t="s">
        <v>209</v>
      </c>
      <c r="V13" s="2" t="s">
        <v>36</v>
      </c>
      <c r="W13" s="2" t="s">
        <v>0</v>
      </c>
      <c r="X13" s="2" t="s">
        <v>215</v>
      </c>
      <c r="Y13" s="2" t="s">
        <v>39</v>
      </c>
      <c r="AA13" t="s">
        <v>12</v>
      </c>
    </row>
    <row r="14" spans="1:27" x14ac:dyDescent="0.25">
      <c r="AA14" t="s">
        <v>13</v>
      </c>
    </row>
    <row r="15" spans="1:27" x14ac:dyDescent="0.25">
      <c r="C15" s="1" t="s">
        <v>222</v>
      </c>
      <c r="D15" s="1" t="s">
        <v>210</v>
      </c>
      <c r="E15" s="1" t="s">
        <v>211</v>
      </c>
      <c r="F15" s="1" t="s">
        <v>212</v>
      </c>
      <c r="G15" s="1" t="s">
        <v>213</v>
      </c>
      <c r="I15" s="1" t="s">
        <v>232</v>
      </c>
      <c r="J15" s="1" t="s">
        <v>210</v>
      </c>
      <c r="K15" s="1" t="s">
        <v>211</v>
      </c>
      <c r="L15" s="1" t="s">
        <v>212</v>
      </c>
      <c r="M15" s="1" t="s">
        <v>213</v>
      </c>
      <c r="O15" s="1" t="s">
        <v>231</v>
      </c>
      <c r="P15" s="1" t="s">
        <v>210</v>
      </c>
      <c r="Q15" s="1" t="s">
        <v>211</v>
      </c>
      <c r="R15" s="1" t="s">
        <v>212</v>
      </c>
      <c r="S15" s="1" t="s">
        <v>213</v>
      </c>
      <c r="U15" s="1" t="s">
        <v>227</v>
      </c>
      <c r="V15" s="1" t="s">
        <v>210</v>
      </c>
      <c r="W15" s="1" t="s">
        <v>211</v>
      </c>
      <c r="X15" s="1" t="s">
        <v>212</v>
      </c>
      <c r="Y15" s="1" t="s">
        <v>213</v>
      </c>
      <c r="AA15" t="s">
        <v>14</v>
      </c>
    </row>
    <row r="16" spans="1:27" x14ac:dyDescent="0.25">
      <c r="C16" s="1" t="s">
        <v>206</v>
      </c>
      <c r="D16" s="2" t="s">
        <v>19</v>
      </c>
      <c r="E16" s="2" t="s">
        <v>17</v>
      </c>
      <c r="F16" s="2">
        <v>3</v>
      </c>
      <c r="G16" s="2">
        <v>2</v>
      </c>
      <c r="I16" s="1" t="s">
        <v>206</v>
      </c>
      <c r="J16" s="2" t="s">
        <v>8</v>
      </c>
      <c r="K16" s="2" t="s">
        <v>17</v>
      </c>
      <c r="L16" s="2">
        <v>3</v>
      </c>
      <c r="M16" s="2">
        <v>2</v>
      </c>
      <c r="O16" s="1" t="s">
        <v>206</v>
      </c>
      <c r="P16" s="2" t="s">
        <v>5</v>
      </c>
      <c r="Q16" s="2" t="s">
        <v>42</v>
      </c>
      <c r="R16" s="2">
        <v>3</v>
      </c>
      <c r="S16" s="2">
        <v>2</v>
      </c>
      <c r="U16" s="1" t="s">
        <v>206</v>
      </c>
      <c r="V16" s="2" t="s">
        <v>18</v>
      </c>
      <c r="W16" s="2" t="s">
        <v>42</v>
      </c>
      <c r="X16" s="2">
        <v>3</v>
      </c>
      <c r="Y16" s="2">
        <v>2</v>
      </c>
      <c r="AA16" t="s">
        <v>15</v>
      </c>
    </row>
    <row r="17" spans="1:27" x14ac:dyDescent="0.25">
      <c r="A17" s="1" t="s">
        <v>208</v>
      </c>
      <c r="C17" s="1" t="s">
        <v>207</v>
      </c>
      <c r="D17" s="2" t="s">
        <v>19</v>
      </c>
      <c r="E17" s="2" t="s">
        <v>17</v>
      </c>
      <c r="F17" s="2">
        <v>7</v>
      </c>
      <c r="G17" s="2" t="s">
        <v>20</v>
      </c>
      <c r="I17" s="1" t="s">
        <v>207</v>
      </c>
      <c r="J17" s="2">
        <v>4</v>
      </c>
      <c r="K17" s="2" t="s">
        <v>17</v>
      </c>
      <c r="L17" s="2">
        <v>7</v>
      </c>
      <c r="M17" s="2" t="s">
        <v>20</v>
      </c>
      <c r="O17" s="1" t="s">
        <v>207</v>
      </c>
      <c r="P17" s="2">
        <v>4</v>
      </c>
      <c r="Q17" s="2" t="s">
        <v>42</v>
      </c>
      <c r="R17" s="2">
        <v>7</v>
      </c>
      <c r="S17" s="2" t="s">
        <v>24</v>
      </c>
      <c r="U17" s="1" t="s">
        <v>207</v>
      </c>
      <c r="V17" s="2" t="s">
        <v>18</v>
      </c>
      <c r="W17" s="2" t="s">
        <v>42</v>
      </c>
      <c r="X17" s="2">
        <v>7</v>
      </c>
      <c r="Y17" s="2" t="s">
        <v>24</v>
      </c>
      <c r="AA17" t="s">
        <v>16</v>
      </c>
    </row>
    <row r="18" spans="1:27" x14ac:dyDescent="0.25">
      <c r="C18" s="1" t="s">
        <v>208</v>
      </c>
      <c r="D18" s="2" t="s">
        <v>19</v>
      </c>
      <c r="E18" s="2" t="s">
        <v>17</v>
      </c>
      <c r="F18" s="2" t="s">
        <v>219</v>
      </c>
      <c r="G18" s="2" t="s">
        <v>20</v>
      </c>
      <c r="I18" s="1" t="s">
        <v>208</v>
      </c>
      <c r="J18" s="2" t="s">
        <v>216</v>
      </c>
      <c r="K18" s="2" t="s">
        <v>17</v>
      </c>
      <c r="L18" s="2" t="s">
        <v>219</v>
      </c>
      <c r="M18" s="2" t="s">
        <v>20</v>
      </c>
      <c r="O18" s="1" t="s">
        <v>208</v>
      </c>
      <c r="P18" s="2" t="s">
        <v>216</v>
      </c>
      <c r="Q18" s="2" t="s">
        <v>42</v>
      </c>
      <c r="R18" s="2" t="s">
        <v>219</v>
      </c>
      <c r="S18" s="2" t="s">
        <v>24</v>
      </c>
      <c r="U18" s="1" t="s">
        <v>208</v>
      </c>
      <c r="V18" s="2" t="s">
        <v>18</v>
      </c>
      <c r="W18" s="2" t="s">
        <v>42</v>
      </c>
      <c r="X18" s="2" t="s">
        <v>219</v>
      </c>
      <c r="Y18" s="2" t="s">
        <v>24</v>
      </c>
      <c r="AA18" t="s">
        <v>17</v>
      </c>
    </row>
    <row r="19" spans="1:27" x14ac:dyDescent="0.25">
      <c r="C19" s="1" t="s">
        <v>209</v>
      </c>
      <c r="D19" s="2" t="s">
        <v>26</v>
      </c>
      <c r="E19" s="2" t="s">
        <v>17</v>
      </c>
      <c r="F19" s="2" t="s">
        <v>215</v>
      </c>
      <c r="G19" s="2" t="s">
        <v>21</v>
      </c>
      <c r="I19" s="1" t="s">
        <v>209</v>
      </c>
      <c r="J19" s="2" t="s">
        <v>14</v>
      </c>
      <c r="K19" s="2" t="s">
        <v>17</v>
      </c>
      <c r="L19" s="2" t="s">
        <v>215</v>
      </c>
      <c r="M19" s="2" t="s">
        <v>214</v>
      </c>
      <c r="O19" s="1" t="s">
        <v>209</v>
      </c>
      <c r="P19" s="2" t="s">
        <v>44</v>
      </c>
      <c r="Q19" s="2" t="s">
        <v>42</v>
      </c>
      <c r="R19" s="2" t="s">
        <v>215</v>
      </c>
      <c r="S19" s="2" t="s">
        <v>214</v>
      </c>
      <c r="U19" s="1" t="s">
        <v>209</v>
      </c>
      <c r="V19" s="2" t="s">
        <v>25</v>
      </c>
      <c r="W19" s="2" t="s">
        <v>42</v>
      </c>
      <c r="X19" s="2" t="s">
        <v>215</v>
      </c>
      <c r="Y19" s="2" t="s">
        <v>32</v>
      </c>
      <c r="AA19" t="s">
        <v>18</v>
      </c>
    </row>
    <row r="20" spans="1:27" x14ac:dyDescent="0.25">
      <c r="AA20" t="s">
        <v>19</v>
      </c>
    </row>
    <row r="21" spans="1:27" x14ac:dyDescent="0.25">
      <c r="C21" s="1" t="s">
        <v>223</v>
      </c>
      <c r="D21" s="1" t="s">
        <v>210</v>
      </c>
      <c r="E21" s="1" t="s">
        <v>211</v>
      </c>
      <c r="F21" s="1" t="s">
        <v>212</v>
      </c>
      <c r="G21" s="1" t="s">
        <v>213</v>
      </c>
      <c r="I21" s="1" t="s">
        <v>224</v>
      </c>
      <c r="J21" s="1" t="s">
        <v>210</v>
      </c>
      <c r="K21" s="1" t="s">
        <v>211</v>
      </c>
      <c r="L21" s="1" t="s">
        <v>212</v>
      </c>
      <c r="M21" s="1" t="s">
        <v>213</v>
      </c>
      <c r="O21" s="1" t="s">
        <v>225</v>
      </c>
      <c r="P21" s="1" t="s">
        <v>210</v>
      </c>
      <c r="Q21" s="1" t="s">
        <v>211</v>
      </c>
      <c r="R21" s="1" t="s">
        <v>212</v>
      </c>
      <c r="S21" s="1" t="s">
        <v>213</v>
      </c>
      <c r="U21" s="1" t="s">
        <v>226</v>
      </c>
      <c r="V21" s="1" t="s">
        <v>210</v>
      </c>
      <c r="W21" s="1" t="s">
        <v>211</v>
      </c>
      <c r="X21" s="1" t="s">
        <v>212</v>
      </c>
      <c r="Y21" s="1" t="s">
        <v>213</v>
      </c>
      <c r="AA21" t="s">
        <v>20</v>
      </c>
    </row>
    <row r="22" spans="1:27" x14ac:dyDescent="0.25">
      <c r="C22" s="1" t="s">
        <v>206</v>
      </c>
      <c r="D22" s="2">
        <v>0</v>
      </c>
      <c r="E22" s="2" t="s">
        <v>46</v>
      </c>
      <c r="F22" s="2">
        <v>3</v>
      </c>
      <c r="G22" s="2">
        <v>2</v>
      </c>
      <c r="I22" s="1" t="s">
        <v>206</v>
      </c>
      <c r="J22" s="2" t="s">
        <v>3</v>
      </c>
      <c r="K22" s="2" t="s">
        <v>46</v>
      </c>
      <c r="L22" s="2">
        <v>3</v>
      </c>
      <c r="M22" s="2">
        <v>2</v>
      </c>
      <c r="O22" s="1" t="s">
        <v>206</v>
      </c>
      <c r="P22" s="2" t="s">
        <v>4</v>
      </c>
      <c r="Q22" s="2" t="s">
        <v>28</v>
      </c>
      <c r="R22" s="2">
        <v>3</v>
      </c>
      <c r="S22" s="2">
        <v>2</v>
      </c>
      <c r="U22" s="1" t="s">
        <v>206</v>
      </c>
      <c r="V22" s="2" t="s">
        <v>30</v>
      </c>
      <c r="W22" s="2" t="s">
        <v>28</v>
      </c>
      <c r="X22" s="2">
        <v>3</v>
      </c>
      <c r="Y22" s="2" t="s">
        <v>29</v>
      </c>
      <c r="AA22" t="s">
        <v>21</v>
      </c>
    </row>
    <row r="23" spans="1:27" x14ac:dyDescent="0.25">
      <c r="A23" s="1" t="s">
        <v>209</v>
      </c>
      <c r="C23" s="1" t="s">
        <v>207</v>
      </c>
      <c r="D23" s="2" t="s">
        <v>48</v>
      </c>
      <c r="E23" s="2" t="s">
        <v>46</v>
      </c>
      <c r="F23" s="2">
        <v>7</v>
      </c>
      <c r="G23" s="2" t="s">
        <v>47</v>
      </c>
      <c r="I23" s="1" t="s">
        <v>207</v>
      </c>
      <c r="J23" s="2" t="s">
        <v>48</v>
      </c>
      <c r="K23" s="2" t="s">
        <v>46</v>
      </c>
      <c r="L23" s="2">
        <v>7</v>
      </c>
      <c r="M23" s="2" t="s">
        <v>47</v>
      </c>
      <c r="O23" s="1" t="s">
        <v>207</v>
      </c>
      <c r="P23" s="2" t="s">
        <v>30</v>
      </c>
      <c r="Q23" s="2" t="s">
        <v>28</v>
      </c>
      <c r="R23" s="2">
        <v>7</v>
      </c>
      <c r="S23" s="2" t="s">
        <v>29</v>
      </c>
      <c r="U23" s="1" t="s">
        <v>207</v>
      </c>
      <c r="V23" s="2" t="s">
        <v>30</v>
      </c>
      <c r="W23" s="2" t="s">
        <v>28</v>
      </c>
      <c r="X23" s="2">
        <v>7</v>
      </c>
      <c r="Y23" s="2" t="s">
        <v>29</v>
      </c>
      <c r="AA23" t="s">
        <v>22</v>
      </c>
    </row>
    <row r="24" spans="1:27" x14ac:dyDescent="0.25">
      <c r="C24" s="1" t="s">
        <v>208</v>
      </c>
      <c r="D24" s="2" t="s">
        <v>48</v>
      </c>
      <c r="E24" s="2" t="s">
        <v>46</v>
      </c>
      <c r="F24" s="2" t="s">
        <v>219</v>
      </c>
      <c r="G24" s="2" t="s">
        <v>47</v>
      </c>
      <c r="I24" s="1" t="s">
        <v>208</v>
      </c>
      <c r="J24" s="2" t="s">
        <v>216</v>
      </c>
      <c r="K24" s="2" t="s">
        <v>46</v>
      </c>
      <c r="L24" s="2" t="s">
        <v>219</v>
      </c>
      <c r="M24" s="2" t="s">
        <v>218</v>
      </c>
      <c r="O24" s="1" t="s">
        <v>208</v>
      </c>
      <c r="P24" s="2" t="s">
        <v>30</v>
      </c>
      <c r="Q24" s="2" t="s">
        <v>28</v>
      </c>
      <c r="R24" s="2" t="s">
        <v>219</v>
      </c>
      <c r="S24" s="2" t="s">
        <v>29</v>
      </c>
      <c r="U24" s="1" t="s">
        <v>208</v>
      </c>
      <c r="V24" s="2" t="s">
        <v>30</v>
      </c>
      <c r="W24" s="2" t="s">
        <v>28</v>
      </c>
      <c r="X24" s="2" t="s">
        <v>219</v>
      </c>
      <c r="Y24" s="2" t="s">
        <v>29</v>
      </c>
      <c r="AA24" t="s">
        <v>23</v>
      </c>
    </row>
    <row r="25" spans="1:27" x14ac:dyDescent="0.25">
      <c r="C25" s="1" t="s">
        <v>209</v>
      </c>
      <c r="D25" s="2" t="s">
        <v>22</v>
      </c>
      <c r="E25" s="2" t="s">
        <v>46</v>
      </c>
      <c r="F25" s="2" t="s">
        <v>215</v>
      </c>
      <c r="G25" s="2" t="s">
        <v>52</v>
      </c>
      <c r="I25" s="1" t="s">
        <v>209</v>
      </c>
      <c r="J25" s="2" t="s">
        <v>54</v>
      </c>
      <c r="K25" s="2" t="s">
        <v>46</v>
      </c>
      <c r="L25" s="2" t="s">
        <v>215</v>
      </c>
      <c r="M25" s="2" t="s">
        <v>53</v>
      </c>
      <c r="O25" s="1" t="s">
        <v>209</v>
      </c>
      <c r="P25" s="2" t="s">
        <v>16</v>
      </c>
      <c r="Q25" s="2" t="s">
        <v>28</v>
      </c>
      <c r="R25" s="2" t="s">
        <v>215</v>
      </c>
      <c r="S25" s="2" t="s">
        <v>51</v>
      </c>
      <c r="U25" s="1" t="s">
        <v>209</v>
      </c>
      <c r="V25" s="2" t="s">
        <v>50</v>
      </c>
      <c r="W25" s="2" t="s">
        <v>28</v>
      </c>
      <c r="X25" s="2" t="s">
        <v>215</v>
      </c>
      <c r="Y25" s="2" t="s">
        <v>49</v>
      </c>
      <c r="AA25" t="s">
        <v>24</v>
      </c>
    </row>
    <row r="26" spans="1:27" x14ac:dyDescent="0.25">
      <c r="AA26" t="s">
        <v>25</v>
      </c>
    </row>
    <row r="27" spans="1:27" x14ac:dyDescent="0.25">
      <c r="AA27" t="s">
        <v>26</v>
      </c>
    </row>
    <row r="28" spans="1:27" x14ac:dyDescent="0.25">
      <c r="AA28" t="s">
        <v>27</v>
      </c>
    </row>
    <row r="29" spans="1:27" x14ac:dyDescent="0.25">
      <c r="B29" s="2">
        <v>0</v>
      </c>
      <c r="C29" s="2">
        <v>1</v>
      </c>
      <c r="D29" s="2">
        <v>3</v>
      </c>
      <c r="E29" s="2">
        <v>2</v>
      </c>
      <c r="G29" t="s">
        <v>237</v>
      </c>
      <c r="AA29" t="s">
        <v>57</v>
      </c>
    </row>
    <row r="30" spans="1:27" x14ac:dyDescent="0.25">
      <c r="B30" s="2">
        <v>4</v>
      </c>
      <c r="C30" s="2">
        <v>5</v>
      </c>
      <c r="D30" s="2">
        <v>7</v>
      </c>
      <c r="E30" s="2">
        <v>6</v>
      </c>
      <c r="G30" t="s">
        <v>42</v>
      </c>
      <c r="AA30" t="s">
        <v>28</v>
      </c>
    </row>
    <row r="31" spans="1:27" x14ac:dyDescent="0.25">
      <c r="B31" s="2" t="s">
        <v>216</v>
      </c>
      <c r="C31" s="2" t="s">
        <v>217</v>
      </c>
      <c r="D31" s="2" t="s">
        <v>219</v>
      </c>
      <c r="E31" s="2" t="s">
        <v>218</v>
      </c>
      <c r="AA31" t="s">
        <v>29</v>
      </c>
    </row>
    <row r="32" spans="1:27" x14ac:dyDescent="0.25">
      <c r="B32" s="2">
        <v>8</v>
      </c>
      <c r="C32" s="2">
        <v>9</v>
      </c>
      <c r="D32" s="2" t="s">
        <v>215</v>
      </c>
      <c r="E32" s="2" t="s">
        <v>214</v>
      </c>
      <c r="AA32" t="s">
        <v>30</v>
      </c>
    </row>
    <row r="33" spans="27:27" customFormat="1" x14ac:dyDescent="0.25">
      <c r="AA33" t="s">
        <v>31</v>
      </c>
    </row>
    <row r="34" spans="27:27" customFormat="1" x14ac:dyDescent="0.25">
      <c r="AA34" t="s">
        <v>32</v>
      </c>
    </row>
    <row r="35" spans="27:27" customFormat="1" x14ac:dyDescent="0.25">
      <c r="AA35" t="s">
        <v>33</v>
      </c>
    </row>
    <row r="36" spans="27:27" customFormat="1" x14ac:dyDescent="0.25">
      <c r="AA36" t="s">
        <v>34</v>
      </c>
    </row>
    <row r="37" spans="27:27" customFormat="1" x14ac:dyDescent="0.25">
      <c r="AA37" t="s">
        <v>35</v>
      </c>
    </row>
    <row r="38" spans="27:27" customFormat="1" x14ac:dyDescent="0.25">
      <c r="AA38" t="s">
        <v>36</v>
      </c>
    </row>
    <row r="39" spans="27:27" customFormat="1" x14ac:dyDescent="0.25">
      <c r="AA39" t="s">
        <v>37</v>
      </c>
    </row>
    <row r="40" spans="27:27" customFormat="1" x14ac:dyDescent="0.25">
      <c r="AA40" t="s">
        <v>38</v>
      </c>
    </row>
    <row r="41" spans="27:27" customFormat="1" x14ac:dyDescent="0.25">
      <c r="AA41" t="s">
        <v>39</v>
      </c>
    </row>
    <row r="42" spans="27:27" customFormat="1" x14ac:dyDescent="0.25">
      <c r="AA42" t="s">
        <v>40</v>
      </c>
    </row>
    <row r="43" spans="27:27" customFormat="1" x14ac:dyDescent="0.25">
      <c r="AA43" t="s">
        <v>41</v>
      </c>
    </row>
    <row r="44" spans="27:27" customFormat="1" x14ac:dyDescent="0.25">
      <c r="AA44" t="s">
        <v>42</v>
      </c>
    </row>
    <row r="45" spans="27:27" customFormat="1" x14ac:dyDescent="0.25">
      <c r="AA45" t="s">
        <v>43</v>
      </c>
    </row>
    <row r="46" spans="27:27" customFormat="1" x14ac:dyDescent="0.25">
      <c r="AA46" t="s">
        <v>44</v>
      </c>
    </row>
    <row r="47" spans="27:27" customFormat="1" x14ac:dyDescent="0.25">
      <c r="AA47" t="s">
        <v>45</v>
      </c>
    </row>
    <row r="48" spans="27:27" customFormat="1" x14ac:dyDescent="0.25">
      <c r="AA48" t="s">
        <v>46</v>
      </c>
    </row>
    <row r="49" spans="27:27" customFormat="1" x14ac:dyDescent="0.25">
      <c r="AA49" t="s">
        <v>47</v>
      </c>
    </row>
    <row r="50" spans="27:27" customFormat="1" x14ac:dyDescent="0.25">
      <c r="AA50" t="s">
        <v>48</v>
      </c>
    </row>
    <row r="51" spans="27:27" customFormat="1" x14ac:dyDescent="0.25">
      <c r="AA51" t="s">
        <v>49</v>
      </c>
    </row>
    <row r="52" spans="27:27" customFormat="1" x14ac:dyDescent="0.25">
      <c r="AA52" t="s">
        <v>50</v>
      </c>
    </row>
    <row r="53" spans="27:27" customFormat="1" x14ac:dyDescent="0.25">
      <c r="AA53" t="s">
        <v>51</v>
      </c>
    </row>
    <row r="54" spans="27:27" customFormat="1" x14ac:dyDescent="0.25">
      <c r="AA54" t="s">
        <v>52</v>
      </c>
    </row>
    <row r="55" spans="27:27" customFormat="1" x14ac:dyDescent="0.25">
      <c r="AA55" t="s">
        <v>53</v>
      </c>
    </row>
    <row r="56" spans="27:27" customFormat="1" x14ac:dyDescent="0.25">
      <c r="AA56" t="s">
        <v>54</v>
      </c>
    </row>
  </sheetData>
  <conditionalFormatting sqref="C3:Y25">
    <cfRule type="cellIs" dxfId="0" priority="1" operator="equal">
      <formula>$G$30</formula>
    </cfRule>
  </conditionalFormatting>
  <dataValidations count="1">
    <dataValidation type="list" allowBlank="1" showInputMessage="1" showErrorMessage="1" sqref="G30">
      <formula1>$AA$1:$AA$56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Epperson</dc:creator>
  <cp:lastModifiedBy>Thomas Epperson</cp:lastModifiedBy>
  <dcterms:created xsi:type="dcterms:W3CDTF">2017-02-23T19:49:17Z</dcterms:created>
  <dcterms:modified xsi:type="dcterms:W3CDTF">2017-03-06T13:49:57Z</dcterms:modified>
</cp:coreProperties>
</file>